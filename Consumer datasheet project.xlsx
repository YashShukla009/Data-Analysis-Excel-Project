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2ecb5f6c8fc9b7/Documents/"/>
    </mc:Choice>
  </mc:AlternateContent>
  <xr:revisionPtr revIDLastSave="0" documentId="8_{94A725B9-329D-4639-8C70-FFCF19173BCB}" xr6:coauthVersionLast="47" xr6:coauthVersionMax="47" xr10:uidLastSave="{00000000-0000-0000-0000-000000000000}"/>
  <bookViews>
    <workbookView xWindow="-108" yWindow="-108" windowWidth="23256" windowHeight="12456" xr2:uid="{95E38DE5-9C29-4245-9027-FE74461B0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1" i="1" l="1"/>
  <c r="B301" i="1"/>
  <c r="I300" i="1"/>
  <c r="B300" i="1"/>
  <c r="I299" i="1"/>
  <c r="B299" i="1"/>
  <c r="I298" i="1"/>
  <c r="B298" i="1"/>
  <c r="I297" i="1"/>
  <c r="B297" i="1"/>
  <c r="I296" i="1"/>
  <c r="B296" i="1"/>
  <c r="I295" i="1"/>
  <c r="B295" i="1"/>
  <c r="I294" i="1"/>
  <c r="B294" i="1"/>
  <c r="I293" i="1"/>
  <c r="B293" i="1"/>
  <c r="I292" i="1"/>
  <c r="B292" i="1"/>
  <c r="I291" i="1"/>
  <c r="B291" i="1"/>
  <c r="I290" i="1"/>
  <c r="B290" i="1"/>
  <c r="I289" i="1"/>
  <c r="B289" i="1"/>
  <c r="I288" i="1"/>
  <c r="B288" i="1"/>
  <c r="I287" i="1"/>
  <c r="B287" i="1"/>
  <c r="I286" i="1"/>
  <c r="B286" i="1"/>
  <c r="I285" i="1"/>
  <c r="B285" i="1"/>
  <c r="I284" i="1"/>
  <c r="B284" i="1"/>
  <c r="I283" i="1"/>
  <c r="B283" i="1"/>
  <c r="I282" i="1"/>
  <c r="B282" i="1"/>
  <c r="I281" i="1"/>
  <c r="B281" i="1"/>
  <c r="I280" i="1"/>
  <c r="B280" i="1"/>
  <c r="I279" i="1"/>
  <c r="B279" i="1"/>
  <c r="I278" i="1"/>
  <c r="B278" i="1"/>
  <c r="I277" i="1"/>
  <c r="B277" i="1"/>
  <c r="I276" i="1"/>
  <c r="B276" i="1"/>
  <c r="I275" i="1"/>
  <c r="B275" i="1"/>
  <c r="I274" i="1"/>
  <c r="B274" i="1"/>
  <c r="I273" i="1"/>
  <c r="B273" i="1"/>
  <c r="I272" i="1"/>
  <c r="B272" i="1"/>
  <c r="I271" i="1"/>
  <c r="B271" i="1"/>
  <c r="I270" i="1"/>
  <c r="B270" i="1"/>
  <c r="I269" i="1"/>
  <c r="B269" i="1"/>
  <c r="I268" i="1"/>
  <c r="B268" i="1"/>
  <c r="I267" i="1"/>
  <c r="B267" i="1"/>
  <c r="I266" i="1"/>
  <c r="B266" i="1"/>
  <c r="I265" i="1"/>
  <c r="B265" i="1"/>
  <c r="I264" i="1"/>
  <c r="B264" i="1"/>
  <c r="I263" i="1"/>
  <c r="B263" i="1"/>
  <c r="I262" i="1"/>
  <c r="B262" i="1"/>
  <c r="I261" i="1"/>
  <c r="B261" i="1"/>
  <c r="I260" i="1"/>
  <c r="B260" i="1"/>
  <c r="I259" i="1"/>
  <c r="B259" i="1"/>
  <c r="I258" i="1"/>
  <c r="B258" i="1"/>
  <c r="I257" i="1"/>
  <c r="B257" i="1"/>
  <c r="I256" i="1"/>
  <c r="B256" i="1"/>
  <c r="I255" i="1"/>
  <c r="B255" i="1"/>
  <c r="I254" i="1"/>
  <c r="B254" i="1"/>
  <c r="I253" i="1"/>
  <c r="B253" i="1"/>
  <c r="I252" i="1"/>
  <c r="B252" i="1"/>
  <c r="I251" i="1"/>
  <c r="B251" i="1"/>
  <c r="I250" i="1"/>
  <c r="B250" i="1"/>
  <c r="I249" i="1"/>
  <c r="B249" i="1"/>
  <c r="I248" i="1"/>
  <c r="B248" i="1"/>
  <c r="I247" i="1"/>
  <c r="B247" i="1"/>
  <c r="I246" i="1"/>
  <c r="B246" i="1"/>
  <c r="I245" i="1"/>
  <c r="B245" i="1"/>
  <c r="I244" i="1"/>
  <c r="B244" i="1"/>
  <c r="I243" i="1"/>
  <c r="B243" i="1"/>
  <c r="I242" i="1"/>
  <c r="B242" i="1"/>
  <c r="I241" i="1"/>
  <c r="B241" i="1"/>
  <c r="I240" i="1"/>
  <c r="B240" i="1"/>
  <c r="I239" i="1"/>
  <c r="B239" i="1"/>
  <c r="I238" i="1"/>
  <c r="B238" i="1"/>
  <c r="I237" i="1"/>
  <c r="B237" i="1"/>
  <c r="I236" i="1"/>
  <c r="B236" i="1"/>
  <c r="I235" i="1"/>
  <c r="B235" i="1"/>
  <c r="I234" i="1"/>
  <c r="B234" i="1"/>
  <c r="I233" i="1"/>
  <c r="B233" i="1"/>
  <c r="I232" i="1"/>
  <c r="B232" i="1"/>
  <c r="I231" i="1"/>
  <c r="B231" i="1"/>
  <c r="I230" i="1"/>
  <c r="B230" i="1"/>
  <c r="I229" i="1"/>
  <c r="B229" i="1"/>
  <c r="I228" i="1"/>
  <c r="B228" i="1"/>
  <c r="I227" i="1"/>
  <c r="B227" i="1"/>
  <c r="I226" i="1"/>
  <c r="B226" i="1"/>
  <c r="I225" i="1"/>
  <c r="B225" i="1"/>
  <c r="I224" i="1"/>
  <c r="B224" i="1"/>
  <c r="I223" i="1"/>
  <c r="B223" i="1"/>
  <c r="I222" i="1"/>
  <c r="B222" i="1"/>
  <c r="I221" i="1"/>
  <c r="B221" i="1"/>
  <c r="I220" i="1"/>
  <c r="B220" i="1"/>
  <c r="I219" i="1"/>
  <c r="B219" i="1"/>
  <c r="I218" i="1"/>
  <c r="B218" i="1"/>
  <c r="I217" i="1"/>
  <c r="B217" i="1"/>
  <c r="I216" i="1"/>
  <c r="B216" i="1"/>
  <c r="I215" i="1"/>
  <c r="B215" i="1"/>
  <c r="I214" i="1"/>
  <c r="B214" i="1"/>
  <c r="I213" i="1"/>
  <c r="B213" i="1"/>
  <c r="I212" i="1"/>
  <c r="B212" i="1"/>
  <c r="I211" i="1"/>
  <c r="B211" i="1"/>
  <c r="I210" i="1"/>
  <c r="B210" i="1"/>
  <c r="I209" i="1"/>
  <c r="B209" i="1"/>
  <c r="I208" i="1"/>
  <c r="B208" i="1"/>
  <c r="I207" i="1"/>
  <c r="B207" i="1"/>
  <c r="I206" i="1"/>
  <c r="B206" i="1"/>
  <c r="I205" i="1"/>
  <c r="B205" i="1"/>
  <c r="I204" i="1"/>
  <c r="B204" i="1"/>
  <c r="I203" i="1"/>
  <c r="B203" i="1"/>
  <c r="I202" i="1"/>
  <c r="B202" i="1"/>
  <c r="I201" i="1"/>
  <c r="B201" i="1"/>
  <c r="I200" i="1"/>
  <c r="B200" i="1"/>
  <c r="I199" i="1"/>
  <c r="B199" i="1"/>
  <c r="I198" i="1"/>
  <c r="B198" i="1"/>
  <c r="I197" i="1"/>
  <c r="B197" i="1"/>
  <c r="I196" i="1"/>
  <c r="B196" i="1"/>
  <c r="I195" i="1"/>
  <c r="B195" i="1"/>
  <c r="I194" i="1"/>
  <c r="B194" i="1"/>
  <c r="I193" i="1"/>
  <c r="B193" i="1"/>
  <c r="I192" i="1"/>
  <c r="B192" i="1"/>
  <c r="I191" i="1"/>
  <c r="B191" i="1"/>
  <c r="I190" i="1"/>
  <c r="B190" i="1"/>
  <c r="I189" i="1"/>
  <c r="B189" i="1"/>
  <c r="I188" i="1"/>
  <c r="B188" i="1"/>
  <c r="I187" i="1"/>
  <c r="B187" i="1"/>
  <c r="I186" i="1"/>
  <c r="B186" i="1"/>
  <c r="I185" i="1"/>
  <c r="B185" i="1"/>
  <c r="I184" i="1"/>
  <c r="B184" i="1"/>
  <c r="I183" i="1"/>
  <c r="B183" i="1"/>
  <c r="I182" i="1"/>
  <c r="B182" i="1"/>
  <c r="I181" i="1"/>
  <c r="B181" i="1"/>
  <c r="I180" i="1"/>
  <c r="B180" i="1"/>
  <c r="I179" i="1"/>
  <c r="B179" i="1"/>
  <c r="I178" i="1"/>
  <c r="B178" i="1"/>
  <c r="I177" i="1"/>
  <c r="B177" i="1"/>
  <c r="I176" i="1"/>
  <c r="B176" i="1"/>
  <c r="I175" i="1"/>
  <c r="B175" i="1"/>
  <c r="I174" i="1"/>
  <c r="B174" i="1"/>
  <c r="I173" i="1"/>
  <c r="B173" i="1"/>
  <c r="I172" i="1"/>
  <c r="B172" i="1"/>
  <c r="I171" i="1"/>
  <c r="B171" i="1"/>
  <c r="I170" i="1"/>
  <c r="B170" i="1"/>
  <c r="I169" i="1"/>
  <c r="B169" i="1"/>
  <c r="I168" i="1"/>
  <c r="B168" i="1"/>
  <c r="I167" i="1"/>
  <c r="B167" i="1"/>
  <c r="I166" i="1"/>
  <c r="B166" i="1"/>
  <c r="I165" i="1"/>
  <c r="B165" i="1"/>
  <c r="I164" i="1"/>
  <c r="B164" i="1"/>
  <c r="I163" i="1"/>
  <c r="B163" i="1"/>
  <c r="I162" i="1"/>
  <c r="B162" i="1"/>
  <c r="I161" i="1"/>
  <c r="B161" i="1"/>
  <c r="I160" i="1"/>
  <c r="B160" i="1"/>
  <c r="I159" i="1"/>
  <c r="B159" i="1"/>
  <c r="I158" i="1"/>
  <c r="B158" i="1"/>
  <c r="I157" i="1"/>
  <c r="B157" i="1"/>
  <c r="I156" i="1"/>
  <c r="B156" i="1"/>
  <c r="I155" i="1"/>
  <c r="B155" i="1"/>
  <c r="I154" i="1"/>
  <c r="B154" i="1"/>
  <c r="I153" i="1"/>
  <c r="B153" i="1"/>
  <c r="I152" i="1"/>
  <c r="B152" i="1"/>
  <c r="I151" i="1"/>
  <c r="B151" i="1"/>
  <c r="I150" i="1"/>
  <c r="B150" i="1"/>
  <c r="I149" i="1"/>
  <c r="B149" i="1"/>
  <c r="I148" i="1"/>
  <c r="B148" i="1"/>
  <c r="I147" i="1"/>
  <c r="B147" i="1"/>
  <c r="I146" i="1"/>
  <c r="B146" i="1"/>
  <c r="I145" i="1"/>
  <c r="B145" i="1"/>
  <c r="I144" i="1"/>
  <c r="B144" i="1"/>
  <c r="I143" i="1"/>
  <c r="B143" i="1"/>
  <c r="I142" i="1"/>
  <c r="B142" i="1"/>
  <c r="I141" i="1"/>
  <c r="B141" i="1"/>
  <c r="I140" i="1"/>
  <c r="B140" i="1"/>
  <c r="I139" i="1"/>
  <c r="B139" i="1"/>
  <c r="I138" i="1"/>
  <c r="B138" i="1"/>
  <c r="I137" i="1"/>
  <c r="B137" i="1"/>
  <c r="I136" i="1"/>
  <c r="B136" i="1"/>
  <c r="I135" i="1"/>
  <c r="B135" i="1"/>
  <c r="I134" i="1"/>
  <c r="B134" i="1"/>
  <c r="I133" i="1"/>
  <c r="B133" i="1"/>
  <c r="I132" i="1"/>
  <c r="B132" i="1"/>
  <c r="I131" i="1"/>
  <c r="B131" i="1"/>
  <c r="I130" i="1"/>
  <c r="B130" i="1"/>
  <c r="I129" i="1"/>
  <c r="B129" i="1"/>
  <c r="I128" i="1"/>
  <c r="B128" i="1"/>
  <c r="I127" i="1"/>
  <c r="B127" i="1"/>
  <c r="I126" i="1"/>
  <c r="B126" i="1"/>
  <c r="I125" i="1"/>
  <c r="B125" i="1"/>
  <c r="I124" i="1"/>
  <c r="B124" i="1"/>
  <c r="I123" i="1"/>
  <c r="B123" i="1"/>
  <c r="I122" i="1"/>
  <c r="B122" i="1"/>
  <c r="I121" i="1"/>
  <c r="B121" i="1"/>
  <c r="I120" i="1"/>
  <c r="B120" i="1"/>
  <c r="I119" i="1"/>
  <c r="B119" i="1"/>
  <c r="I118" i="1"/>
  <c r="B118" i="1"/>
  <c r="I117" i="1"/>
  <c r="B117" i="1"/>
  <c r="I116" i="1"/>
  <c r="B116" i="1"/>
  <c r="I115" i="1"/>
  <c r="B115" i="1"/>
  <c r="I114" i="1"/>
  <c r="B114" i="1"/>
  <c r="I113" i="1"/>
  <c r="B113" i="1"/>
  <c r="I112" i="1"/>
  <c r="B112" i="1"/>
  <c r="I111" i="1"/>
  <c r="B111" i="1"/>
  <c r="I110" i="1"/>
  <c r="B110" i="1"/>
  <c r="I109" i="1"/>
  <c r="B109" i="1"/>
  <c r="I108" i="1"/>
  <c r="B108" i="1"/>
  <c r="I107" i="1"/>
  <c r="B107" i="1"/>
  <c r="I106" i="1"/>
  <c r="B106" i="1"/>
  <c r="I105" i="1"/>
  <c r="B105" i="1"/>
  <c r="I104" i="1"/>
  <c r="B104" i="1"/>
  <c r="I103" i="1"/>
  <c r="B103" i="1"/>
  <c r="I102" i="1"/>
  <c r="B102" i="1"/>
  <c r="I101" i="1"/>
  <c r="B101" i="1"/>
  <c r="I100" i="1"/>
  <c r="B100" i="1"/>
  <c r="I99" i="1"/>
  <c r="B99" i="1"/>
  <c r="I98" i="1"/>
  <c r="B98" i="1"/>
  <c r="I97" i="1"/>
  <c r="B97" i="1"/>
  <c r="I96" i="1"/>
  <c r="B96" i="1"/>
  <c r="I95" i="1"/>
  <c r="B95" i="1"/>
  <c r="I94" i="1"/>
  <c r="B94" i="1"/>
  <c r="I93" i="1"/>
  <c r="B93" i="1"/>
  <c r="I92" i="1"/>
  <c r="B92" i="1"/>
  <c r="I91" i="1"/>
  <c r="B91" i="1"/>
  <c r="I90" i="1"/>
  <c r="B90" i="1"/>
  <c r="I89" i="1"/>
  <c r="B89" i="1"/>
  <c r="I88" i="1"/>
  <c r="B88" i="1"/>
  <c r="I87" i="1"/>
  <c r="B87" i="1"/>
  <c r="I86" i="1"/>
  <c r="B86" i="1"/>
  <c r="I85" i="1"/>
  <c r="B85" i="1"/>
  <c r="I84" i="1"/>
  <c r="B84" i="1"/>
  <c r="I83" i="1"/>
  <c r="B83" i="1"/>
  <c r="I82" i="1"/>
  <c r="B82" i="1"/>
  <c r="I81" i="1"/>
  <c r="B81" i="1"/>
  <c r="I80" i="1"/>
  <c r="B80" i="1"/>
  <c r="I79" i="1"/>
  <c r="B79" i="1"/>
  <c r="I78" i="1"/>
  <c r="B78" i="1"/>
  <c r="I77" i="1"/>
  <c r="B77" i="1"/>
  <c r="I76" i="1"/>
  <c r="B76" i="1"/>
  <c r="I75" i="1"/>
  <c r="B75" i="1"/>
  <c r="I74" i="1"/>
  <c r="B74" i="1"/>
  <c r="I73" i="1"/>
  <c r="B73" i="1"/>
  <c r="I72" i="1"/>
  <c r="B72" i="1"/>
  <c r="I71" i="1"/>
  <c r="B71" i="1"/>
  <c r="I70" i="1"/>
  <c r="B70" i="1"/>
  <c r="I69" i="1"/>
  <c r="B69" i="1"/>
  <c r="I68" i="1"/>
  <c r="B68" i="1"/>
  <c r="I67" i="1"/>
  <c r="B67" i="1"/>
  <c r="I66" i="1"/>
  <c r="B66" i="1"/>
  <c r="I65" i="1"/>
  <c r="B65" i="1"/>
  <c r="I64" i="1"/>
  <c r="B64" i="1"/>
  <c r="I63" i="1"/>
  <c r="B63" i="1"/>
  <c r="I62" i="1"/>
  <c r="B62" i="1"/>
  <c r="I61" i="1"/>
  <c r="B61" i="1"/>
  <c r="I60" i="1"/>
  <c r="B60" i="1"/>
  <c r="I59" i="1"/>
  <c r="B59" i="1"/>
  <c r="I58" i="1"/>
  <c r="B58" i="1"/>
  <c r="I57" i="1"/>
  <c r="B57" i="1"/>
  <c r="I56" i="1"/>
  <c r="B56" i="1"/>
  <c r="I55" i="1"/>
  <c r="B55" i="1"/>
  <c r="I54" i="1"/>
  <c r="B54" i="1"/>
  <c r="I53" i="1"/>
  <c r="B53" i="1"/>
  <c r="I52" i="1"/>
  <c r="B52" i="1"/>
  <c r="I51" i="1"/>
  <c r="B51" i="1"/>
  <c r="I50" i="1"/>
  <c r="B50" i="1"/>
  <c r="I49" i="1"/>
  <c r="B49" i="1"/>
  <c r="I48" i="1"/>
  <c r="B48" i="1"/>
  <c r="I47" i="1"/>
  <c r="B47" i="1"/>
  <c r="I46" i="1"/>
  <c r="B46" i="1"/>
  <c r="I45" i="1"/>
  <c r="B45" i="1"/>
  <c r="I44" i="1"/>
  <c r="B44" i="1"/>
  <c r="I43" i="1"/>
  <c r="B43" i="1"/>
  <c r="I42" i="1"/>
  <c r="B42" i="1"/>
  <c r="I41" i="1"/>
  <c r="B41" i="1"/>
  <c r="I40" i="1"/>
  <c r="B40" i="1"/>
  <c r="I39" i="1"/>
  <c r="B39" i="1"/>
  <c r="I38" i="1"/>
  <c r="B38" i="1"/>
  <c r="I37" i="1"/>
  <c r="B37" i="1"/>
  <c r="I36" i="1"/>
  <c r="B36" i="1"/>
  <c r="I35" i="1"/>
  <c r="B35" i="1"/>
  <c r="I34" i="1"/>
  <c r="B34" i="1"/>
  <c r="I33" i="1"/>
  <c r="B33" i="1"/>
  <c r="I32" i="1"/>
  <c r="B32" i="1"/>
  <c r="I31" i="1"/>
  <c r="B31" i="1"/>
  <c r="I30" i="1"/>
  <c r="B30" i="1"/>
  <c r="I29" i="1"/>
  <c r="B29" i="1"/>
  <c r="I28" i="1"/>
  <c r="B28" i="1"/>
  <c r="I27" i="1"/>
  <c r="B27" i="1"/>
  <c r="I26" i="1"/>
  <c r="B26" i="1"/>
  <c r="I25" i="1"/>
  <c r="B25" i="1"/>
  <c r="I24" i="1"/>
  <c r="B24" i="1"/>
  <c r="I23" i="1"/>
  <c r="B23" i="1"/>
  <c r="I22" i="1"/>
  <c r="B22" i="1"/>
  <c r="I21" i="1"/>
  <c r="B21" i="1"/>
  <c r="I20" i="1"/>
  <c r="B20" i="1"/>
  <c r="I19" i="1"/>
  <c r="B19" i="1"/>
  <c r="I18" i="1"/>
  <c r="B18" i="1"/>
  <c r="I17" i="1"/>
  <c r="B17" i="1"/>
  <c r="I16" i="1"/>
  <c r="B16" i="1"/>
  <c r="I15" i="1"/>
  <c r="B15" i="1"/>
  <c r="I14" i="1"/>
  <c r="B14" i="1"/>
  <c r="I13" i="1"/>
  <c r="B13" i="1"/>
  <c r="I12" i="1"/>
  <c r="B12" i="1"/>
  <c r="I11" i="1"/>
  <c r="B11" i="1"/>
  <c r="I10" i="1"/>
  <c r="B10" i="1"/>
  <c r="I9" i="1"/>
  <c r="B9" i="1"/>
  <c r="I8" i="1"/>
  <c r="B8" i="1"/>
  <c r="I7" i="1"/>
  <c r="B7" i="1"/>
  <c r="I6" i="1"/>
  <c r="B6" i="1"/>
  <c r="I5" i="1"/>
  <c r="B5" i="1"/>
  <c r="I4" i="1"/>
  <c r="B4" i="1"/>
  <c r="I3" i="1"/>
  <c r="B3" i="1"/>
  <c r="I2" i="1"/>
  <c r="B2" i="1"/>
</calcChain>
</file>

<file path=xl/sharedStrings.xml><?xml version="1.0" encoding="utf-8"?>
<sst xmlns="http://schemas.openxmlformats.org/spreadsheetml/2006/main" count="1510" uniqueCount="268">
  <si>
    <t>Income (₹)</t>
  </si>
  <si>
    <t>Income Bucket</t>
  </si>
  <si>
    <t>Occupation</t>
  </si>
  <si>
    <t>Marital_Status</t>
  </si>
  <si>
    <t>Purchase_Category</t>
  </si>
  <si>
    <t>Purchase_Amount (₹)</t>
  </si>
  <si>
    <t>Payment_Mode</t>
  </si>
  <si>
    <t>Purchase date</t>
  </si>
  <si>
    <t>Purchase_Date</t>
  </si>
  <si>
    <t>Customer_Rating</t>
  </si>
  <si>
    <t>Student</t>
  </si>
  <si>
    <t>Single</t>
  </si>
  <si>
    <t>Furniture</t>
  </si>
  <si>
    <t>Credit Card</t>
  </si>
  <si>
    <t>09-06-2024</t>
  </si>
  <si>
    <t>Business</t>
  </si>
  <si>
    <t>Fashion</t>
  </si>
  <si>
    <t>Net Banking</t>
  </si>
  <si>
    <t>24-04-2024</t>
  </si>
  <si>
    <t>Analyst</t>
  </si>
  <si>
    <t>Fitness</t>
  </si>
  <si>
    <t>UPI</t>
  </si>
  <si>
    <t>31-12-2024</t>
  </si>
  <si>
    <t>HR Executive</t>
  </si>
  <si>
    <t>Groceries</t>
  </si>
  <si>
    <t>09-10-2023</t>
  </si>
  <si>
    <t>07-01-2023</t>
  </si>
  <si>
    <t>Electronics</t>
  </si>
  <si>
    <t>Debit Card</t>
  </si>
  <si>
    <t>21-06-2023</t>
  </si>
  <si>
    <t>Married</t>
  </si>
  <si>
    <t>27-05-2023</t>
  </si>
  <si>
    <t>Manager</t>
  </si>
  <si>
    <t>10-01-2023</t>
  </si>
  <si>
    <t>Software Engineer</t>
  </si>
  <si>
    <t>21-01-2023</t>
  </si>
  <si>
    <t>Beauty</t>
  </si>
  <si>
    <t>11-09-2024</t>
  </si>
  <si>
    <t>29-12-2024</t>
  </si>
  <si>
    <t>Sales Executive</t>
  </si>
  <si>
    <t>08-11-2024</t>
  </si>
  <si>
    <t>06-03-2023</t>
  </si>
  <si>
    <t>05-09-2024</t>
  </si>
  <si>
    <t>03-11-2024</t>
  </si>
  <si>
    <t>13-06-2023</t>
  </si>
  <si>
    <t>02-06-2023</t>
  </si>
  <si>
    <t>Home Appliances</t>
  </si>
  <si>
    <t>05-10-2023</t>
  </si>
  <si>
    <t>12-07-2024</t>
  </si>
  <si>
    <t>22-02-2024</t>
  </si>
  <si>
    <t>12-08-2024</t>
  </si>
  <si>
    <t>15-11-2023</t>
  </si>
  <si>
    <t>13-11-2023</t>
  </si>
  <si>
    <t>27-02-2023</t>
  </si>
  <si>
    <t>25-10-2024</t>
  </si>
  <si>
    <t>23-01-2024</t>
  </si>
  <si>
    <t>02-11-2023</t>
  </si>
  <si>
    <t>07-10-2024</t>
  </si>
  <si>
    <t>16-03-2024</t>
  </si>
  <si>
    <t>01-10-2023</t>
  </si>
  <si>
    <t>12-01-2023</t>
  </si>
  <si>
    <t>01-04-2023</t>
  </si>
  <si>
    <t>23-07-2024</t>
  </si>
  <si>
    <t>11-04-2023</t>
  </si>
  <si>
    <t>16-02-2024</t>
  </si>
  <si>
    <t>25-05-2023</t>
  </si>
  <si>
    <t>10-03-2023</t>
  </si>
  <si>
    <t>26-04-2023</t>
  </si>
  <si>
    <t>10-10-2024</t>
  </si>
  <si>
    <t>27-01-2023</t>
  </si>
  <si>
    <t>23-04-2023</t>
  </si>
  <si>
    <t>25-03-2023</t>
  </si>
  <si>
    <t>28-12-2024</t>
  </si>
  <si>
    <t>07-09-2024</t>
  </si>
  <si>
    <t>29-07-2024</t>
  </si>
  <si>
    <t>18-01-2024</t>
  </si>
  <si>
    <t>19-08-2024</t>
  </si>
  <si>
    <t>31-01-2023</t>
  </si>
  <si>
    <t>21-07-2023</t>
  </si>
  <si>
    <t>11-09-2023</t>
  </si>
  <si>
    <t>17-08-2023</t>
  </si>
  <si>
    <t>28-09-2024</t>
  </si>
  <si>
    <t>09-09-2023</t>
  </si>
  <si>
    <t>25-03-2024</t>
  </si>
  <si>
    <t>07-07-2023</t>
  </si>
  <si>
    <t>18-10-2023</t>
  </si>
  <si>
    <t>09-05-2023</t>
  </si>
  <si>
    <t>07-06-2024</t>
  </si>
  <si>
    <t>30-01-2023</t>
  </si>
  <si>
    <t>31-08-2023</t>
  </si>
  <si>
    <t>26-07-2024</t>
  </si>
  <si>
    <t>20-05-2024</t>
  </si>
  <si>
    <t>15-02-2024</t>
  </si>
  <si>
    <t>28-03-2024</t>
  </si>
  <si>
    <t>27-12-2024</t>
  </si>
  <si>
    <t>24-08-2024</t>
  </si>
  <si>
    <t>08-05-2024</t>
  </si>
  <si>
    <t>31-03-2024</t>
  </si>
  <si>
    <t>02-12-2023</t>
  </si>
  <si>
    <t>10-05-2023</t>
  </si>
  <si>
    <t>10-03-2024</t>
  </si>
  <si>
    <t>17-05-2024</t>
  </si>
  <si>
    <t>22-12-2023</t>
  </si>
  <si>
    <t>19-12-2024</t>
  </si>
  <si>
    <t>11-06-2023</t>
  </si>
  <si>
    <t>21-12-2023</t>
  </si>
  <si>
    <t>29-06-2024</t>
  </si>
  <si>
    <t>03-07-2023</t>
  </si>
  <si>
    <t>26-06-2024</t>
  </si>
  <si>
    <t>09-01-2024</t>
  </si>
  <si>
    <t>23-12-2023</t>
  </si>
  <si>
    <t>11-07-2024</t>
  </si>
  <si>
    <t>03-12-2024</t>
  </si>
  <si>
    <t>21-06-2024</t>
  </si>
  <si>
    <t>04-10-2024</t>
  </si>
  <si>
    <t>17-05-2023</t>
  </si>
  <si>
    <t>24-01-2023</t>
  </si>
  <si>
    <t>01-01-2023</t>
  </si>
  <si>
    <t>01-02-2023</t>
  </si>
  <si>
    <t>16-11-2023</t>
  </si>
  <si>
    <t>17-01-2023</t>
  </si>
  <si>
    <t>08-03-2023</t>
  </si>
  <si>
    <t>20-05-2023</t>
  </si>
  <si>
    <t>19-11-2023</t>
  </si>
  <si>
    <t>25-05-2024</t>
  </si>
  <si>
    <t>18-06-2024</t>
  </si>
  <si>
    <t>24-11-2024</t>
  </si>
  <si>
    <t>20-01-2023</t>
  </si>
  <si>
    <t>02-07-2024</t>
  </si>
  <si>
    <t>01-11-2024</t>
  </si>
  <si>
    <t>17-10-2023</t>
  </si>
  <si>
    <t>29-12-2023</t>
  </si>
  <si>
    <t>14-10-2024</t>
  </si>
  <si>
    <t>02-09-2024</t>
  </si>
  <si>
    <t>26-09-2023</t>
  </si>
  <si>
    <t>20-04-2024</t>
  </si>
  <si>
    <t>22-03-2024</t>
  </si>
  <si>
    <t>19-03-2023</t>
  </si>
  <si>
    <t>03-04-2023</t>
  </si>
  <si>
    <t>18-05-2024</t>
  </si>
  <si>
    <t>06-01-2024</t>
  </si>
  <si>
    <t>24-12-2024</t>
  </si>
  <si>
    <t>17-03-2023</t>
  </si>
  <si>
    <t>07-06-2023</t>
  </si>
  <si>
    <t>06-07-2024</t>
  </si>
  <si>
    <t>26-02-2023</t>
  </si>
  <si>
    <t>04-02-2024</t>
  </si>
  <si>
    <t>08-12-2023</t>
  </si>
  <si>
    <t>20-12-2023</t>
  </si>
  <si>
    <t>24-08-2023</t>
  </si>
  <si>
    <t>12-11-2024</t>
  </si>
  <si>
    <t>08-07-2024</t>
  </si>
  <si>
    <t>15-08-2024</t>
  </si>
  <si>
    <t>06-04-2024</t>
  </si>
  <si>
    <t>01-09-2023</t>
  </si>
  <si>
    <t>24-04-2023</t>
  </si>
  <si>
    <t>28-11-2023</t>
  </si>
  <si>
    <t>28-02-2024</t>
  </si>
  <si>
    <t>21-04-2024</t>
  </si>
  <si>
    <t>25-12-2024</t>
  </si>
  <si>
    <t>28-06-2023</t>
  </si>
  <si>
    <t>07-02-2024</t>
  </si>
  <si>
    <t>01-01-2024</t>
  </si>
  <si>
    <t>03-02-2023</t>
  </si>
  <si>
    <t>04-10-2023</t>
  </si>
  <si>
    <t>20-04-2023</t>
  </si>
  <si>
    <t>21-09-2023</t>
  </si>
  <si>
    <t>02-07-2023</t>
  </si>
  <si>
    <t>17-04-2023</t>
  </si>
  <si>
    <t>10-06-2023</t>
  </si>
  <si>
    <t>29-07-2023</t>
  </si>
  <si>
    <t>20-11-2024</t>
  </si>
  <si>
    <t>13-10-2024</t>
  </si>
  <si>
    <t>20-02-2023</t>
  </si>
  <si>
    <t>23-04-2024</t>
  </si>
  <si>
    <t>12-08-2023</t>
  </si>
  <si>
    <t>07-08-2023</t>
  </si>
  <si>
    <t>26-01-2023</t>
  </si>
  <si>
    <t>17-03-2024</t>
  </si>
  <si>
    <t>14-07-2023</t>
  </si>
  <si>
    <t>24-05-2024</t>
  </si>
  <si>
    <t>25-09-2024</t>
  </si>
  <si>
    <t>22-07-2023</t>
  </si>
  <si>
    <t>24-05-2023</t>
  </si>
  <si>
    <t>19-08-2023</t>
  </si>
  <si>
    <t>05-02-2024</t>
  </si>
  <si>
    <t>03-04-2024</t>
  </si>
  <si>
    <t>11-11-2023</t>
  </si>
  <si>
    <t>23-09-2024</t>
  </si>
  <si>
    <t>13-01-2023</t>
  </si>
  <si>
    <t>31-10-2023</t>
  </si>
  <si>
    <t>15-06-2023</t>
  </si>
  <si>
    <t>06-04-2023</t>
  </si>
  <si>
    <t>19-11-2024</t>
  </si>
  <si>
    <t>08-01-2023</t>
  </si>
  <si>
    <t>04-05-2023</t>
  </si>
  <si>
    <t>30-04-2023</t>
  </si>
  <si>
    <t>22-10-2024</t>
  </si>
  <si>
    <t>15-03-2023</t>
  </si>
  <si>
    <t>03-02-2024</t>
  </si>
  <si>
    <t>04-09-2024</t>
  </si>
  <si>
    <t>19-05-2024</t>
  </si>
  <si>
    <t>06-05-2024</t>
  </si>
  <si>
    <t>31-03-2023</t>
  </si>
  <si>
    <t>08-09-2024</t>
  </si>
  <si>
    <t>12-07-2023</t>
  </si>
  <si>
    <t>08-11-2023</t>
  </si>
  <si>
    <t>11-01-2023</t>
  </si>
  <si>
    <t>30-05-2024</t>
  </si>
  <si>
    <t>16-05-2023</t>
  </si>
  <si>
    <t>11-05-2024</t>
  </si>
  <si>
    <t>15-03-2024</t>
  </si>
  <si>
    <t>18-02-2024</t>
  </si>
  <si>
    <t>06-10-2024</t>
  </si>
  <si>
    <t>02-04-2024</t>
  </si>
  <si>
    <t>25-01-2024</t>
  </si>
  <si>
    <t>10-11-2024</t>
  </si>
  <si>
    <t>10-08-2024</t>
  </si>
  <si>
    <t>23-05-2024</t>
  </si>
  <si>
    <t>26-09-2024</t>
  </si>
  <si>
    <t>05-08-2023</t>
  </si>
  <si>
    <t>22-01-2023</t>
  </si>
  <si>
    <t>27-10-2024</t>
  </si>
  <si>
    <t>18-02-2023</t>
  </si>
  <si>
    <t>16-05-2024</t>
  </si>
  <si>
    <t>26-10-2023</t>
  </si>
  <si>
    <t>18-07-2023</t>
  </si>
  <si>
    <t>03-11-2023</t>
  </si>
  <si>
    <t>30-11-2024</t>
  </si>
  <si>
    <t>04-04-2024</t>
  </si>
  <si>
    <t>08-07-2023</t>
  </si>
  <si>
    <t>26-05-2023</t>
  </si>
  <si>
    <t>04-06-2023</t>
  </si>
  <si>
    <t>18-11-2024</t>
  </si>
  <si>
    <t>19-07-2024</t>
  </si>
  <si>
    <t>23-06-2024</t>
  </si>
  <si>
    <t>14-06-2024</t>
  </si>
  <si>
    <t>22-12-2024</t>
  </si>
  <si>
    <t>22-09-2023</t>
  </si>
  <si>
    <t>21-02-2023</t>
  </si>
  <si>
    <t>25-01-2023</t>
  </si>
  <si>
    <t>15-09-2024</t>
  </si>
  <si>
    <t>31-05-2023</t>
  </si>
  <si>
    <t>14-10-2023</t>
  </si>
  <si>
    <t>17-10-2024</t>
  </si>
  <si>
    <t>19-04-2023</t>
  </si>
  <si>
    <t>19-02-2024</t>
  </si>
  <si>
    <t>05-05-2024</t>
  </si>
  <si>
    <t>13-03-2023</t>
  </si>
  <si>
    <t>01-03-2024</t>
  </si>
  <si>
    <t>18-10-2024</t>
  </si>
  <si>
    <t>29-04-2024</t>
  </si>
  <si>
    <t>06-12-2024</t>
  </si>
  <si>
    <t>20-10-2023</t>
  </si>
  <si>
    <t>24-06-2024</t>
  </si>
  <si>
    <t>16-10-2024</t>
  </si>
  <si>
    <t>10-01-2024</t>
  </si>
  <si>
    <t>04-12-2023</t>
  </si>
  <si>
    <t>20-02-2024</t>
  </si>
  <si>
    <t>30-08-2024</t>
  </si>
  <si>
    <t>30-01-2024</t>
  </si>
  <si>
    <t>14-06-2023</t>
  </si>
  <si>
    <t>30-09-2023</t>
  </si>
  <si>
    <t>07-09-2023</t>
  </si>
  <si>
    <t>01-08-2024</t>
  </si>
  <si>
    <t>13-02-2023</t>
  </si>
  <si>
    <t>06-07-2023</t>
  </si>
  <si>
    <t>25-07-2024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</si>
</sst>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2997-722C-40C6-9092-42D2A407C555}">
  <dimension ref="A1:J301"/>
  <sheetViews>
    <sheetView tabSelected="1" workbookViewId="0">
      <selection sqref="A1:J30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518789</v>
      </c>
      <c r="B2" s="1" t="e">
        <f t="shared" ref="B2:B65" si="0">IF(#REF!&lt;500000,"Low Income",
IF(#REF!&lt;=1000000,"Middle Income",
"High Income"))</f>
        <v>#REF!</v>
      </c>
      <c r="C2" s="1" t="s">
        <v>10</v>
      </c>
      <c r="D2" s="1" t="s">
        <v>11</v>
      </c>
      <c r="E2" s="1" t="s">
        <v>12</v>
      </c>
      <c r="F2" s="2">
        <v>36144</v>
      </c>
      <c r="G2" s="1" t="s">
        <v>13</v>
      </c>
      <c r="H2" s="1" t="s">
        <v>14</v>
      </c>
      <c r="I2" s="1" t="str">
        <f t="shared" ref="I2:I65" si="1">TEXT(H2,"mmm-yyy")</f>
        <v>Jun-2024</v>
      </c>
      <c r="J2" s="1">
        <v>2</v>
      </c>
    </row>
    <row r="3" spans="1:10" x14ac:dyDescent="0.3">
      <c r="A3" s="1">
        <v>390381</v>
      </c>
      <c r="B3" s="1" t="e">
        <f t="shared" ref="B3:B66" si="2">IF(#REF!&lt;500000,"Low Income",
IF(#REF!&lt;=1000000,"Middle Income",
"High Income"))</f>
        <v>#REF!</v>
      </c>
      <c r="C3" s="1" t="s">
        <v>15</v>
      </c>
      <c r="D3" s="1" t="s">
        <v>11</v>
      </c>
      <c r="E3" s="1" t="s">
        <v>16</v>
      </c>
      <c r="F3" s="2">
        <v>34293</v>
      </c>
      <c r="G3" s="1" t="s">
        <v>17</v>
      </c>
      <c r="H3" s="1" t="s">
        <v>18</v>
      </c>
      <c r="I3" s="1" t="str">
        <f t="shared" si="1"/>
        <v>Apr-2024</v>
      </c>
      <c r="J3" s="1">
        <v>4</v>
      </c>
    </row>
    <row r="4" spans="1:10" x14ac:dyDescent="0.3">
      <c r="A4" s="1">
        <v>361890</v>
      </c>
      <c r="B4" s="1" t="e">
        <f t="shared" ref="B4:B67" si="3">IF(#REF!&lt;500000,"Low Income",
IF(#REF!&lt;=1000000,"Middle Income",
"High Income"))</f>
        <v>#REF!</v>
      </c>
      <c r="C4" s="1" t="s">
        <v>19</v>
      </c>
      <c r="D4" s="1" t="s">
        <v>11</v>
      </c>
      <c r="E4" s="1" t="s">
        <v>20</v>
      </c>
      <c r="F4" s="2">
        <v>20888</v>
      </c>
      <c r="G4" s="1" t="s">
        <v>21</v>
      </c>
      <c r="H4" s="1" t="s">
        <v>22</v>
      </c>
      <c r="I4" s="1" t="str">
        <f t="shared" si="1"/>
        <v>Dec-2024</v>
      </c>
      <c r="J4" s="1">
        <v>2</v>
      </c>
    </row>
    <row r="5" spans="1:10" x14ac:dyDescent="0.3">
      <c r="A5" s="1">
        <v>521630</v>
      </c>
      <c r="B5" s="1" t="e">
        <f t="shared" ref="B5:B68" si="4">IF(#REF!&lt;500000,"Low Income",
IF(#REF!&lt;=1000000,"Middle Income",
"High Income"))</f>
        <v>#REF!</v>
      </c>
      <c r="C5" s="1" t="s">
        <v>23</v>
      </c>
      <c r="D5" s="1" t="s">
        <v>11</v>
      </c>
      <c r="E5" s="1" t="s">
        <v>24</v>
      </c>
      <c r="F5" s="2">
        <v>22535</v>
      </c>
      <c r="G5" s="1" t="s">
        <v>13</v>
      </c>
      <c r="H5" s="1" t="s">
        <v>25</v>
      </c>
      <c r="I5" s="1" t="str">
        <f t="shared" si="1"/>
        <v>Oct-2023</v>
      </c>
      <c r="J5" s="1">
        <v>3</v>
      </c>
    </row>
    <row r="6" spans="1:10" x14ac:dyDescent="0.3">
      <c r="A6" s="1">
        <v>1076344</v>
      </c>
      <c r="B6" s="1" t="e">
        <f t="shared" ref="B6:B69" si="5">IF(#REF!&lt;500000,"Low Income",
IF(#REF!&lt;=1000000,"Middle Income",
"High Income"))</f>
        <v>#REF!</v>
      </c>
      <c r="C6" s="1" t="s">
        <v>10</v>
      </c>
      <c r="D6" s="1" t="s">
        <v>11</v>
      </c>
      <c r="E6" s="1" t="s">
        <v>20</v>
      </c>
      <c r="F6" s="2">
        <v>46757</v>
      </c>
      <c r="G6" s="1" t="s">
        <v>13</v>
      </c>
      <c r="H6" s="1" t="s">
        <v>26</v>
      </c>
      <c r="I6" s="1" t="str">
        <f t="shared" si="1"/>
        <v>Jan-2023</v>
      </c>
      <c r="J6" s="1">
        <v>3</v>
      </c>
    </row>
    <row r="7" spans="1:10" x14ac:dyDescent="0.3">
      <c r="A7" s="1">
        <v>438336</v>
      </c>
      <c r="B7" s="1" t="e">
        <f t="shared" ref="B7:B70" si="6">IF(#REF!&lt;500000,"Low Income",
IF(#REF!&lt;=1000000,"Middle Income",
"High Income"))</f>
        <v>#REF!</v>
      </c>
      <c r="C7" s="1" t="s">
        <v>23</v>
      </c>
      <c r="D7" s="1" t="s">
        <v>11</v>
      </c>
      <c r="E7" s="1" t="s">
        <v>27</v>
      </c>
      <c r="F7" s="2">
        <v>29749</v>
      </c>
      <c r="G7" s="1" t="s">
        <v>28</v>
      </c>
      <c r="H7" s="1" t="s">
        <v>29</v>
      </c>
      <c r="I7" s="1" t="str">
        <f t="shared" si="1"/>
        <v>Jun-2023</v>
      </c>
      <c r="J7" s="1">
        <v>2</v>
      </c>
    </row>
    <row r="8" spans="1:10" x14ac:dyDescent="0.3">
      <c r="A8" s="1">
        <v>327496</v>
      </c>
      <c r="B8" s="1" t="e">
        <f t="shared" ref="B8:B71" si="7">IF(#REF!&lt;500000,"Low Income",
IF(#REF!&lt;=1000000,"Middle Income",
"High Income"))</f>
        <v>#REF!</v>
      </c>
      <c r="C8" s="1" t="s">
        <v>10</v>
      </c>
      <c r="D8" s="1" t="s">
        <v>30</v>
      </c>
      <c r="E8" s="1" t="s">
        <v>20</v>
      </c>
      <c r="F8" s="2">
        <v>33545</v>
      </c>
      <c r="G8" s="1" t="s">
        <v>17</v>
      </c>
      <c r="H8" s="1" t="s">
        <v>31</v>
      </c>
      <c r="I8" s="1" t="str">
        <f t="shared" si="1"/>
        <v>May-2023</v>
      </c>
      <c r="J8" s="1">
        <v>5</v>
      </c>
    </row>
    <row r="9" spans="1:10" x14ac:dyDescent="0.3">
      <c r="A9" s="1">
        <v>534321</v>
      </c>
      <c r="B9" s="1" t="e">
        <f t="shared" ref="B9:B72" si="8">IF(#REF!&lt;500000,"Low Income",
IF(#REF!&lt;=1000000,"Middle Income",
"High Income"))</f>
        <v>#REF!</v>
      </c>
      <c r="C9" s="1" t="s">
        <v>32</v>
      </c>
      <c r="D9" s="1" t="s">
        <v>30</v>
      </c>
      <c r="E9" s="1" t="s">
        <v>12</v>
      </c>
      <c r="F9" s="2">
        <v>26439</v>
      </c>
      <c r="G9" s="1" t="s">
        <v>21</v>
      </c>
      <c r="H9" s="1" t="s">
        <v>33</v>
      </c>
      <c r="I9" s="1" t="str">
        <f t="shared" si="1"/>
        <v>Jan-2023</v>
      </c>
      <c r="J9" s="1">
        <v>4</v>
      </c>
    </row>
    <row r="10" spans="1:10" x14ac:dyDescent="0.3">
      <c r="A10" s="1">
        <v>1153697</v>
      </c>
      <c r="B10" s="1" t="e">
        <f t="shared" ref="B10:B73" si="9">IF(#REF!&lt;500000,"Low Income",
IF(#REF!&lt;=1000000,"Middle Income",
"High Income"))</f>
        <v>#REF!</v>
      </c>
      <c r="C10" s="1" t="s">
        <v>34</v>
      </c>
      <c r="D10" s="1" t="s">
        <v>30</v>
      </c>
      <c r="E10" s="1" t="s">
        <v>27</v>
      </c>
      <c r="F10" s="2">
        <v>10725</v>
      </c>
      <c r="G10" s="1" t="s">
        <v>13</v>
      </c>
      <c r="H10" s="1" t="s">
        <v>35</v>
      </c>
      <c r="I10" s="1" t="str">
        <f t="shared" si="1"/>
        <v>Jan-2023</v>
      </c>
      <c r="J10" s="1">
        <v>5</v>
      </c>
    </row>
    <row r="11" spans="1:10" x14ac:dyDescent="0.3">
      <c r="A11" s="1">
        <v>1345966</v>
      </c>
      <c r="B11" s="1" t="e">
        <f t="shared" ref="B11:B74" si="10">IF(#REF!&lt;500000,"Low Income",
IF(#REF!&lt;=1000000,"Middle Income",
"High Income"))</f>
        <v>#REF!</v>
      </c>
      <c r="C11" s="1" t="s">
        <v>34</v>
      </c>
      <c r="D11" s="1" t="s">
        <v>11</v>
      </c>
      <c r="E11" s="1" t="s">
        <v>36</v>
      </c>
      <c r="F11" s="2">
        <v>2027</v>
      </c>
      <c r="G11" s="1" t="s">
        <v>28</v>
      </c>
      <c r="H11" s="1" t="s">
        <v>37</v>
      </c>
      <c r="I11" s="1" t="str">
        <f t="shared" si="1"/>
        <v>Sep-2024</v>
      </c>
      <c r="J11" s="1">
        <v>3</v>
      </c>
    </row>
    <row r="12" spans="1:10" x14ac:dyDescent="0.3">
      <c r="A12" s="1">
        <v>1495120</v>
      </c>
      <c r="B12" s="1" t="e">
        <f t="shared" ref="B12:B75" si="11">IF(#REF!&lt;500000,"Low Income",
IF(#REF!&lt;=1000000,"Middle Income",
"High Income"))</f>
        <v>#REF!</v>
      </c>
      <c r="C12" s="1" t="s">
        <v>10</v>
      </c>
      <c r="D12" s="1" t="s">
        <v>11</v>
      </c>
      <c r="E12" s="1" t="s">
        <v>36</v>
      </c>
      <c r="F12" s="2">
        <v>15523</v>
      </c>
      <c r="G12" s="1" t="s">
        <v>28</v>
      </c>
      <c r="H12" s="1" t="s">
        <v>38</v>
      </c>
      <c r="I12" s="1" t="str">
        <f t="shared" si="1"/>
        <v>Dec-2024</v>
      </c>
      <c r="J12" s="1">
        <v>4</v>
      </c>
    </row>
    <row r="13" spans="1:10" x14ac:dyDescent="0.3">
      <c r="A13" s="1">
        <v>822287</v>
      </c>
      <c r="B13" s="1" t="e">
        <f t="shared" ref="B13:B76" si="12">IF(#REF!&lt;500000,"Low Income",
IF(#REF!&lt;=1000000,"Middle Income",
"High Income"))</f>
        <v>#REF!</v>
      </c>
      <c r="C13" s="1" t="s">
        <v>39</v>
      </c>
      <c r="D13" s="1" t="s">
        <v>11</v>
      </c>
      <c r="E13" s="1" t="s">
        <v>20</v>
      </c>
      <c r="F13" s="2">
        <v>27245</v>
      </c>
      <c r="G13" s="1" t="s">
        <v>13</v>
      </c>
      <c r="H13" s="1" t="s">
        <v>40</v>
      </c>
      <c r="I13" s="1" t="str">
        <f t="shared" si="1"/>
        <v>Nov-2024</v>
      </c>
      <c r="J13" s="1">
        <v>4</v>
      </c>
    </row>
    <row r="14" spans="1:10" x14ac:dyDescent="0.3">
      <c r="A14" s="1">
        <v>502397</v>
      </c>
      <c r="B14" s="1" t="e">
        <f t="shared" ref="B14:B77" si="13">IF(#REF!&lt;500000,"Low Income",
IF(#REF!&lt;=1000000,"Middle Income",
"High Income"))</f>
        <v>#REF!</v>
      </c>
      <c r="C14" s="1" t="s">
        <v>10</v>
      </c>
      <c r="D14" s="1" t="s">
        <v>11</v>
      </c>
      <c r="E14" s="1" t="s">
        <v>12</v>
      </c>
      <c r="F14" s="2">
        <v>18265</v>
      </c>
      <c r="G14" s="1" t="s">
        <v>13</v>
      </c>
      <c r="H14" s="1" t="s">
        <v>22</v>
      </c>
      <c r="I14" s="1" t="str">
        <f t="shared" si="1"/>
        <v>Dec-2024</v>
      </c>
      <c r="J14" s="1">
        <v>3</v>
      </c>
    </row>
    <row r="15" spans="1:10" x14ac:dyDescent="0.3">
      <c r="A15" s="1">
        <v>1094425</v>
      </c>
      <c r="B15" s="1" t="e">
        <f t="shared" ref="B15:B78" si="14">IF(#REF!&lt;500000,"Low Income",
IF(#REF!&lt;=1000000,"Middle Income",
"High Income"))</f>
        <v>#REF!</v>
      </c>
      <c r="C15" s="1" t="s">
        <v>23</v>
      </c>
      <c r="D15" s="1" t="s">
        <v>30</v>
      </c>
      <c r="E15" s="1" t="s">
        <v>20</v>
      </c>
      <c r="F15" s="2">
        <v>19827</v>
      </c>
      <c r="G15" s="1" t="s">
        <v>21</v>
      </c>
      <c r="H15" s="1" t="s">
        <v>41</v>
      </c>
      <c r="I15" s="1" t="str">
        <f t="shared" si="1"/>
        <v>Mar-2023</v>
      </c>
      <c r="J15" s="1">
        <v>3</v>
      </c>
    </row>
    <row r="16" spans="1:10" x14ac:dyDescent="0.3">
      <c r="A16" s="1">
        <v>657710</v>
      </c>
      <c r="B16" s="1" t="e">
        <f t="shared" ref="B16:B79" si="15">IF(#REF!&lt;500000,"Low Income",
IF(#REF!&lt;=1000000,"Middle Income",
"High Income"))</f>
        <v>#REF!</v>
      </c>
      <c r="C16" s="1" t="s">
        <v>19</v>
      </c>
      <c r="D16" s="1" t="s">
        <v>11</v>
      </c>
      <c r="E16" s="1" t="s">
        <v>24</v>
      </c>
      <c r="F16" s="2">
        <v>37606</v>
      </c>
      <c r="G16" s="1" t="s">
        <v>28</v>
      </c>
      <c r="H16" s="1" t="s">
        <v>42</v>
      </c>
      <c r="I16" s="1" t="str">
        <f t="shared" si="1"/>
        <v>Sep-2024</v>
      </c>
      <c r="J16" s="1">
        <v>3</v>
      </c>
    </row>
    <row r="17" spans="1:10" x14ac:dyDescent="0.3">
      <c r="A17" s="1">
        <v>1316516</v>
      </c>
      <c r="B17" s="1" t="e">
        <f t="shared" ref="B17:B80" si="16">IF(#REF!&lt;500000,"Low Income",
IF(#REF!&lt;=1000000,"Middle Income",
"High Income"))</f>
        <v>#REF!</v>
      </c>
      <c r="C17" s="1" t="s">
        <v>34</v>
      </c>
      <c r="D17" s="1" t="s">
        <v>30</v>
      </c>
      <c r="E17" s="1" t="s">
        <v>16</v>
      </c>
      <c r="F17" s="2">
        <v>7969</v>
      </c>
      <c r="G17" s="1" t="s">
        <v>28</v>
      </c>
      <c r="H17" s="1" t="s">
        <v>43</v>
      </c>
      <c r="I17" s="1" t="str">
        <f t="shared" si="1"/>
        <v>Nov-2024</v>
      </c>
      <c r="J17" s="1">
        <v>3</v>
      </c>
    </row>
    <row r="18" spans="1:10" x14ac:dyDescent="0.3">
      <c r="A18" s="1">
        <v>812099</v>
      </c>
      <c r="B18" s="1" t="e">
        <f t="shared" ref="B18:B81" si="17">IF(#REF!&lt;500000,"Low Income",
IF(#REF!&lt;=1000000,"Middle Income",
"High Income"))</f>
        <v>#REF!</v>
      </c>
      <c r="C18" s="1" t="s">
        <v>32</v>
      </c>
      <c r="D18" s="1" t="s">
        <v>11</v>
      </c>
      <c r="E18" s="1" t="s">
        <v>16</v>
      </c>
      <c r="F18" s="2">
        <v>35287</v>
      </c>
      <c r="G18" s="1" t="s">
        <v>28</v>
      </c>
      <c r="H18" s="1" t="s">
        <v>44</v>
      </c>
      <c r="I18" s="1" t="str">
        <f t="shared" si="1"/>
        <v>Jun-2023</v>
      </c>
      <c r="J18" s="1">
        <v>4</v>
      </c>
    </row>
    <row r="19" spans="1:10" x14ac:dyDescent="0.3">
      <c r="A19" s="1">
        <v>374579</v>
      </c>
      <c r="B19" s="1" t="e">
        <f t="shared" ref="B19:B82" si="18">IF(#REF!&lt;500000,"Low Income",
IF(#REF!&lt;=1000000,"Middle Income",
"High Income"))</f>
        <v>#REF!</v>
      </c>
      <c r="C19" s="1" t="s">
        <v>23</v>
      </c>
      <c r="D19" s="1" t="s">
        <v>11</v>
      </c>
      <c r="E19" s="1" t="s">
        <v>24</v>
      </c>
      <c r="F19" s="2">
        <v>29389</v>
      </c>
      <c r="G19" s="1" t="s">
        <v>28</v>
      </c>
      <c r="H19" s="1" t="s">
        <v>45</v>
      </c>
      <c r="I19" s="1" t="str">
        <f t="shared" si="1"/>
        <v>Jun-2023</v>
      </c>
      <c r="J19" s="1">
        <v>3</v>
      </c>
    </row>
    <row r="20" spans="1:10" x14ac:dyDescent="0.3">
      <c r="A20" s="1">
        <v>425685</v>
      </c>
      <c r="B20" s="1" t="e">
        <f t="shared" ref="B20:B83" si="19">IF(#REF!&lt;500000,"Low Income",
IF(#REF!&lt;=1000000,"Middle Income",
"High Income"))</f>
        <v>#REF!</v>
      </c>
      <c r="C20" s="1" t="s">
        <v>19</v>
      </c>
      <c r="D20" s="1" t="s">
        <v>11</v>
      </c>
      <c r="E20" s="1" t="s">
        <v>46</v>
      </c>
      <c r="F20" s="2">
        <v>45584</v>
      </c>
      <c r="G20" s="1" t="s">
        <v>28</v>
      </c>
      <c r="H20" s="1" t="s">
        <v>47</v>
      </c>
      <c r="I20" s="1" t="str">
        <f t="shared" si="1"/>
        <v>Oct-2023</v>
      </c>
      <c r="J20" s="1">
        <v>5</v>
      </c>
    </row>
    <row r="21" spans="1:10" x14ac:dyDescent="0.3">
      <c r="A21" s="1">
        <v>912618</v>
      </c>
      <c r="B21" s="1" t="e">
        <f t="shared" ref="B21:B84" si="20">IF(#REF!&lt;500000,"Low Income",
IF(#REF!&lt;=1000000,"Middle Income",
"High Income"))</f>
        <v>#REF!</v>
      </c>
      <c r="C21" s="1" t="s">
        <v>34</v>
      </c>
      <c r="D21" s="1" t="s">
        <v>11</v>
      </c>
      <c r="E21" s="1" t="s">
        <v>46</v>
      </c>
      <c r="F21" s="2">
        <v>19080</v>
      </c>
      <c r="G21" s="1" t="s">
        <v>28</v>
      </c>
      <c r="H21" s="1" t="s">
        <v>48</v>
      </c>
      <c r="I21" s="1" t="str">
        <f t="shared" si="1"/>
        <v>Jul-2024</v>
      </c>
      <c r="J21" s="1">
        <v>4</v>
      </c>
    </row>
    <row r="22" spans="1:10" x14ac:dyDescent="0.3">
      <c r="A22" s="1">
        <v>1319803</v>
      </c>
      <c r="B22" s="1" t="e">
        <f t="shared" ref="B22:B85" si="21">IF(#REF!&lt;500000,"Low Income",
IF(#REF!&lt;=1000000,"Middle Income",
"High Income"))</f>
        <v>#REF!</v>
      </c>
      <c r="C22" s="1" t="s">
        <v>39</v>
      </c>
      <c r="D22" s="1" t="s">
        <v>30</v>
      </c>
      <c r="E22" s="1" t="s">
        <v>46</v>
      </c>
      <c r="F22" s="2">
        <v>21867</v>
      </c>
      <c r="G22" s="1" t="s">
        <v>13</v>
      </c>
      <c r="H22" s="1" t="s">
        <v>49</v>
      </c>
      <c r="I22" s="1" t="str">
        <f t="shared" si="1"/>
        <v>Feb-2024</v>
      </c>
      <c r="J22" s="1">
        <v>2</v>
      </c>
    </row>
    <row r="23" spans="1:10" x14ac:dyDescent="0.3">
      <c r="A23" s="1">
        <v>889533</v>
      </c>
      <c r="B23" s="1" t="e">
        <f t="shared" ref="B23:B86" si="22">IF(#REF!&lt;500000,"Low Income",
IF(#REF!&lt;=1000000,"Middle Income",
"High Income"))</f>
        <v>#REF!</v>
      </c>
      <c r="C23" s="1" t="s">
        <v>15</v>
      </c>
      <c r="D23" s="1" t="s">
        <v>11</v>
      </c>
      <c r="E23" s="1" t="s">
        <v>36</v>
      </c>
      <c r="F23" s="2">
        <v>22203</v>
      </c>
      <c r="G23" s="1" t="s">
        <v>28</v>
      </c>
      <c r="H23" s="1" t="s">
        <v>50</v>
      </c>
      <c r="I23" s="1" t="str">
        <f t="shared" si="1"/>
        <v>Aug-2024</v>
      </c>
      <c r="J23" s="1">
        <v>4</v>
      </c>
    </row>
    <row r="24" spans="1:10" x14ac:dyDescent="0.3">
      <c r="A24" s="1">
        <v>659753</v>
      </c>
      <c r="B24" s="1" t="e">
        <f t="shared" ref="B24:B87" si="23">IF(#REF!&lt;500000,"Low Income",
IF(#REF!&lt;=1000000,"Middle Income",
"High Income"))</f>
        <v>#REF!</v>
      </c>
      <c r="C24" s="1" t="s">
        <v>19</v>
      </c>
      <c r="D24" s="1" t="s">
        <v>11</v>
      </c>
      <c r="E24" s="1" t="s">
        <v>46</v>
      </c>
      <c r="F24" s="2">
        <v>37316</v>
      </c>
      <c r="G24" s="1" t="s">
        <v>17</v>
      </c>
      <c r="H24" s="1" t="s">
        <v>51</v>
      </c>
      <c r="I24" s="1" t="str">
        <f t="shared" si="1"/>
        <v>Nov-2023</v>
      </c>
      <c r="J24" s="1">
        <v>2</v>
      </c>
    </row>
    <row r="25" spans="1:10" x14ac:dyDescent="0.3">
      <c r="A25" s="1">
        <v>1251343</v>
      </c>
      <c r="B25" s="1" t="e">
        <f t="shared" ref="B25:B88" si="24">IF(#REF!&lt;500000,"Low Income",
IF(#REF!&lt;=1000000,"Middle Income",
"High Income"))</f>
        <v>#REF!</v>
      </c>
      <c r="C25" s="1" t="s">
        <v>10</v>
      </c>
      <c r="D25" s="1" t="s">
        <v>11</v>
      </c>
      <c r="E25" s="1" t="s">
        <v>20</v>
      </c>
      <c r="F25" s="2">
        <v>4193</v>
      </c>
      <c r="G25" s="1" t="s">
        <v>13</v>
      </c>
      <c r="H25" s="1" t="s">
        <v>52</v>
      </c>
      <c r="I25" s="1" t="str">
        <f t="shared" si="1"/>
        <v>Nov-2023</v>
      </c>
      <c r="J25" s="1">
        <v>4</v>
      </c>
    </row>
    <row r="26" spans="1:10" x14ac:dyDescent="0.3">
      <c r="A26" s="1">
        <v>1429877</v>
      </c>
      <c r="B26" s="1" t="e">
        <f t="shared" ref="B26:B89" si="25">IF(#REF!&lt;500000,"Low Income",
IF(#REF!&lt;=1000000,"Middle Income",
"High Income"))</f>
        <v>#REF!</v>
      </c>
      <c r="C26" s="1" t="s">
        <v>32</v>
      </c>
      <c r="D26" s="1" t="s">
        <v>11</v>
      </c>
      <c r="E26" s="1" t="s">
        <v>16</v>
      </c>
      <c r="F26" s="2">
        <v>34736</v>
      </c>
      <c r="G26" s="1" t="s">
        <v>28</v>
      </c>
      <c r="H26" s="1" t="s">
        <v>53</v>
      </c>
      <c r="I26" s="1" t="str">
        <f t="shared" si="1"/>
        <v>Feb-2023</v>
      </c>
      <c r="J26" s="1">
        <v>5</v>
      </c>
    </row>
    <row r="27" spans="1:10" x14ac:dyDescent="0.3">
      <c r="A27" s="1">
        <v>1189310</v>
      </c>
      <c r="B27" s="1" t="e">
        <f t="shared" ref="B27:B90" si="26">IF(#REF!&lt;500000,"Low Income",
IF(#REF!&lt;=1000000,"Middle Income",
"High Income"))</f>
        <v>#REF!</v>
      </c>
      <c r="C27" s="1" t="s">
        <v>34</v>
      </c>
      <c r="D27" s="1" t="s">
        <v>11</v>
      </c>
      <c r="E27" s="1" t="s">
        <v>46</v>
      </c>
      <c r="F27" s="2">
        <v>21708</v>
      </c>
      <c r="G27" s="1" t="s">
        <v>21</v>
      </c>
      <c r="H27" s="1" t="s">
        <v>54</v>
      </c>
      <c r="I27" s="1" t="str">
        <f t="shared" si="1"/>
        <v>Oct-2024</v>
      </c>
      <c r="J27" s="1">
        <v>5</v>
      </c>
    </row>
    <row r="28" spans="1:10" x14ac:dyDescent="0.3">
      <c r="A28" s="1">
        <v>456075</v>
      </c>
      <c r="B28" s="1" t="e">
        <f t="shared" ref="B28:B91" si="27">IF(#REF!&lt;500000,"Low Income",
IF(#REF!&lt;=1000000,"Middle Income",
"High Income"))</f>
        <v>#REF!</v>
      </c>
      <c r="C28" s="1" t="s">
        <v>34</v>
      </c>
      <c r="D28" s="1" t="s">
        <v>11</v>
      </c>
      <c r="E28" s="1" t="s">
        <v>16</v>
      </c>
      <c r="F28" s="2">
        <v>12357</v>
      </c>
      <c r="G28" s="1" t="s">
        <v>21</v>
      </c>
      <c r="H28" s="1" t="s">
        <v>55</v>
      </c>
      <c r="I28" s="1" t="str">
        <f t="shared" si="1"/>
        <v>Jan-2024</v>
      </c>
      <c r="J28" s="1">
        <v>4</v>
      </c>
    </row>
    <row r="29" spans="1:10" x14ac:dyDescent="0.3">
      <c r="A29" s="1">
        <v>697835</v>
      </c>
      <c r="B29" s="1" t="e">
        <f t="shared" ref="B29:B92" si="28">IF(#REF!&lt;500000,"Low Income",
IF(#REF!&lt;=1000000,"Middle Income",
"High Income"))</f>
        <v>#REF!</v>
      </c>
      <c r="C29" s="1" t="s">
        <v>23</v>
      </c>
      <c r="D29" s="1" t="s">
        <v>30</v>
      </c>
      <c r="E29" s="1" t="s">
        <v>20</v>
      </c>
      <c r="F29" s="2">
        <v>30868</v>
      </c>
      <c r="G29" s="1" t="s">
        <v>13</v>
      </c>
      <c r="H29" s="1" t="s">
        <v>56</v>
      </c>
      <c r="I29" s="1" t="str">
        <f t="shared" si="1"/>
        <v>Nov-2023</v>
      </c>
      <c r="J29" s="1">
        <v>4</v>
      </c>
    </row>
    <row r="30" spans="1:10" x14ac:dyDescent="0.3">
      <c r="A30" s="1">
        <v>972821</v>
      </c>
      <c r="B30" s="1" t="e">
        <f t="shared" ref="B30:B93" si="29">IF(#REF!&lt;500000,"Low Income",
IF(#REF!&lt;=1000000,"Middle Income",
"High Income"))</f>
        <v>#REF!</v>
      </c>
      <c r="C30" s="1" t="s">
        <v>32</v>
      </c>
      <c r="D30" s="1" t="s">
        <v>11</v>
      </c>
      <c r="E30" s="1" t="s">
        <v>16</v>
      </c>
      <c r="F30" s="2">
        <v>14397</v>
      </c>
      <c r="G30" s="1" t="s">
        <v>13</v>
      </c>
      <c r="H30" s="1" t="s">
        <v>57</v>
      </c>
      <c r="I30" s="1" t="str">
        <f t="shared" si="1"/>
        <v>Oct-2024</v>
      </c>
      <c r="J30" s="1">
        <v>5</v>
      </c>
    </row>
    <row r="31" spans="1:10" x14ac:dyDescent="0.3">
      <c r="A31" s="1">
        <v>1039852</v>
      </c>
      <c r="B31" s="1" t="e">
        <f t="shared" ref="B31:B94" si="30">IF(#REF!&lt;500000,"Low Income",
IF(#REF!&lt;=1000000,"Middle Income",
"High Income"))</f>
        <v>#REF!</v>
      </c>
      <c r="C31" s="1" t="s">
        <v>10</v>
      </c>
      <c r="D31" s="1" t="s">
        <v>11</v>
      </c>
      <c r="E31" s="1" t="s">
        <v>20</v>
      </c>
      <c r="F31" s="2">
        <v>8612</v>
      </c>
      <c r="G31" s="1" t="s">
        <v>21</v>
      </c>
      <c r="H31" s="1" t="s">
        <v>58</v>
      </c>
      <c r="I31" s="1" t="str">
        <f t="shared" si="1"/>
        <v>Mar-2024</v>
      </c>
      <c r="J31" s="1">
        <v>4</v>
      </c>
    </row>
    <row r="32" spans="1:10" x14ac:dyDescent="0.3">
      <c r="A32" s="1">
        <v>797823</v>
      </c>
      <c r="B32" s="1" t="e">
        <f t="shared" ref="B32:B95" si="31">IF(#REF!&lt;500000,"Low Income",
IF(#REF!&lt;=1000000,"Middle Income",
"High Income"))</f>
        <v>#REF!</v>
      </c>
      <c r="C32" s="1" t="s">
        <v>32</v>
      </c>
      <c r="D32" s="1" t="s">
        <v>11</v>
      </c>
      <c r="E32" s="1" t="s">
        <v>36</v>
      </c>
      <c r="F32" s="2">
        <v>34470</v>
      </c>
      <c r="G32" s="1" t="s">
        <v>21</v>
      </c>
      <c r="H32" s="1" t="s">
        <v>59</v>
      </c>
      <c r="I32" s="1" t="str">
        <f t="shared" si="1"/>
        <v>Oct-2023</v>
      </c>
      <c r="J32" s="1">
        <v>4</v>
      </c>
    </row>
    <row r="33" spans="1:10" x14ac:dyDescent="0.3">
      <c r="A33" s="1">
        <v>1181993</v>
      </c>
      <c r="B33" s="1" t="e">
        <f t="shared" ref="B33:B96" si="32">IF(#REF!&lt;500000,"Low Income",
IF(#REF!&lt;=1000000,"Middle Income",
"High Income"))</f>
        <v>#REF!</v>
      </c>
      <c r="C33" s="1" t="s">
        <v>19</v>
      </c>
      <c r="D33" s="1" t="s">
        <v>30</v>
      </c>
      <c r="E33" s="1" t="s">
        <v>46</v>
      </c>
      <c r="F33" s="2">
        <v>49159</v>
      </c>
      <c r="G33" s="1" t="s">
        <v>21</v>
      </c>
      <c r="H33" s="1" t="s">
        <v>60</v>
      </c>
      <c r="I33" s="1" t="str">
        <f t="shared" si="1"/>
        <v>Jan-2023</v>
      </c>
      <c r="J33" s="1">
        <v>4</v>
      </c>
    </row>
    <row r="34" spans="1:10" x14ac:dyDescent="0.3">
      <c r="A34" s="1">
        <v>1160374</v>
      </c>
      <c r="B34" s="1" t="e">
        <f t="shared" ref="B34:B97" si="33">IF(#REF!&lt;500000,"Low Income",
IF(#REF!&lt;=1000000,"Middle Income",
"High Income"))</f>
        <v>#REF!</v>
      </c>
      <c r="C34" s="1" t="s">
        <v>19</v>
      </c>
      <c r="D34" s="1" t="s">
        <v>11</v>
      </c>
      <c r="E34" s="1" t="s">
        <v>36</v>
      </c>
      <c r="F34" s="2">
        <v>34830</v>
      </c>
      <c r="G34" s="1" t="s">
        <v>21</v>
      </c>
      <c r="H34" s="1" t="s">
        <v>61</v>
      </c>
      <c r="I34" s="1" t="str">
        <f t="shared" si="1"/>
        <v>Apr-2023</v>
      </c>
      <c r="J34" s="1">
        <v>3</v>
      </c>
    </row>
    <row r="35" spans="1:10" x14ac:dyDescent="0.3">
      <c r="A35" s="1">
        <v>1348731</v>
      </c>
      <c r="B35" s="1" t="e">
        <f t="shared" ref="B35:B98" si="34">IF(#REF!&lt;500000,"Low Income",
IF(#REF!&lt;=1000000,"Middle Income",
"High Income"))</f>
        <v>#REF!</v>
      </c>
      <c r="C35" s="1" t="s">
        <v>32</v>
      </c>
      <c r="D35" s="1" t="s">
        <v>30</v>
      </c>
      <c r="E35" s="1" t="s">
        <v>24</v>
      </c>
      <c r="F35" s="2">
        <v>17131</v>
      </c>
      <c r="G35" s="1" t="s">
        <v>28</v>
      </c>
      <c r="H35" s="1" t="s">
        <v>62</v>
      </c>
      <c r="I35" s="1" t="str">
        <f t="shared" si="1"/>
        <v>Jul-2024</v>
      </c>
      <c r="J35" s="1">
        <v>2</v>
      </c>
    </row>
    <row r="36" spans="1:10" x14ac:dyDescent="0.3">
      <c r="A36" s="1">
        <v>1403200</v>
      </c>
      <c r="B36" s="1" t="e">
        <f t="shared" ref="B36:B99" si="35">IF(#REF!&lt;500000,"Low Income",
IF(#REF!&lt;=1000000,"Middle Income",
"High Income"))</f>
        <v>#REF!</v>
      </c>
      <c r="C36" s="1" t="s">
        <v>15</v>
      </c>
      <c r="D36" s="1" t="s">
        <v>30</v>
      </c>
      <c r="E36" s="1" t="s">
        <v>27</v>
      </c>
      <c r="F36" s="2">
        <v>22008</v>
      </c>
      <c r="G36" s="1" t="s">
        <v>13</v>
      </c>
      <c r="H36" s="1" t="s">
        <v>63</v>
      </c>
      <c r="I36" s="1" t="str">
        <f t="shared" si="1"/>
        <v>Apr-2023</v>
      </c>
      <c r="J36" s="1">
        <v>3</v>
      </c>
    </row>
    <row r="37" spans="1:10" x14ac:dyDescent="0.3">
      <c r="A37" s="1">
        <v>793994</v>
      </c>
      <c r="B37" s="1" t="e">
        <f t="shared" ref="B37:B100" si="36">IF(#REF!&lt;500000,"Low Income",
IF(#REF!&lt;=1000000,"Middle Income",
"High Income"))</f>
        <v>#REF!</v>
      </c>
      <c r="C37" s="1" t="s">
        <v>34</v>
      </c>
      <c r="D37" s="1" t="s">
        <v>11</v>
      </c>
      <c r="E37" s="1" t="s">
        <v>24</v>
      </c>
      <c r="F37" s="2">
        <v>19104</v>
      </c>
      <c r="G37" s="1" t="s">
        <v>21</v>
      </c>
      <c r="H37" s="1" t="s">
        <v>64</v>
      </c>
      <c r="I37" s="1" t="str">
        <f t="shared" si="1"/>
        <v>Feb-2024</v>
      </c>
      <c r="J37" s="1">
        <v>3</v>
      </c>
    </row>
    <row r="38" spans="1:10" x14ac:dyDescent="0.3">
      <c r="A38" s="1">
        <v>1198084</v>
      </c>
      <c r="B38" s="1" t="e">
        <f t="shared" ref="B38:B101" si="37">IF(#REF!&lt;500000,"Low Income",
IF(#REF!&lt;=1000000,"Middle Income",
"High Income"))</f>
        <v>#REF!</v>
      </c>
      <c r="C38" s="1" t="s">
        <v>23</v>
      </c>
      <c r="D38" s="1" t="s">
        <v>11</v>
      </c>
      <c r="E38" s="1" t="s">
        <v>20</v>
      </c>
      <c r="F38" s="2">
        <v>43809</v>
      </c>
      <c r="G38" s="1" t="s">
        <v>17</v>
      </c>
      <c r="H38" s="1" t="s">
        <v>65</v>
      </c>
      <c r="I38" s="1" t="str">
        <f t="shared" si="1"/>
        <v>May-2023</v>
      </c>
      <c r="J38" s="1">
        <v>3</v>
      </c>
    </row>
    <row r="39" spans="1:10" x14ac:dyDescent="0.3">
      <c r="A39" s="1">
        <v>1076737</v>
      </c>
      <c r="B39" s="1" t="e">
        <f t="shared" ref="B39:B102" si="38">IF(#REF!&lt;500000,"Low Income",
IF(#REF!&lt;=1000000,"Middle Income",
"High Income"))</f>
        <v>#REF!</v>
      </c>
      <c r="C39" s="1" t="s">
        <v>19</v>
      </c>
      <c r="D39" s="1" t="s">
        <v>11</v>
      </c>
      <c r="E39" s="1" t="s">
        <v>46</v>
      </c>
      <c r="F39" s="2">
        <v>10329</v>
      </c>
      <c r="G39" s="1" t="s">
        <v>28</v>
      </c>
      <c r="H39" s="1" t="s">
        <v>66</v>
      </c>
      <c r="I39" s="1" t="str">
        <f t="shared" si="1"/>
        <v>Mar-2023</v>
      </c>
      <c r="J39" s="1">
        <v>4</v>
      </c>
    </row>
    <row r="40" spans="1:10" x14ac:dyDescent="0.3">
      <c r="A40" s="1">
        <v>1446468</v>
      </c>
      <c r="B40" s="1" t="e">
        <f t="shared" ref="B40:B103" si="39">IF(#REF!&lt;500000,"Low Income",
IF(#REF!&lt;=1000000,"Middle Income",
"High Income"))</f>
        <v>#REF!</v>
      </c>
      <c r="C40" s="1" t="s">
        <v>19</v>
      </c>
      <c r="D40" s="1" t="s">
        <v>11</v>
      </c>
      <c r="E40" s="1" t="s">
        <v>20</v>
      </c>
      <c r="F40" s="2">
        <v>6040</v>
      </c>
      <c r="G40" s="1" t="s">
        <v>28</v>
      </c>
      <c r="H40" s="1" t="s">
        <v>67</v>
      </c>
      <c r="I40" s="1" t="str">
        <f t="shared" si="1"/>
        <v>Apr-2023</v>
      </c>
      <c r="J40" s="1">
        <v>3</v>
      </c>
    </row>
    <row r="41" spans="1:10" x14ac:dyDescent="0.3">
      <c r="A41" s="1">
        <v>630338</v>
      </c>
      <c r="B41" s="1" t="e">
        <f t="shared" ref="B41:B104" si="40">IF(#REF!&lt;500000,"Low Income",
IF(#REF!&lt;=1000000,"Middle Income",
"High Income"))</f>
        <v>#REF!</v>
      </c>
      <c r="C41" s="1" t="s">
        <v>23</v>
      </c>
      <c r="D41" s="1" t="s">
        <v>30</v>
      </c>
      <c r="E41" s="1" t="s">
        <v>20</v>
      </c>
      <c r="F41" s="2">
        <v>37416</v>
      </c>
      <c r="G41" s="1" t="s">
        <v>28</v>
      </c>
      <c r="H41" s="1" t="s">
        <v>68</v>
      </c>
      <c r="I41" s="1" t="str">
        <f t="shared" si="1"/>
        <v>Oct-2024</v>
      </c>
      <c r="J41" s="1">
        <v>5</v>
      </c>
    </row>
    <row r="42" spans="1:10" x14ac:dyDescent="0.3">
      <c r="A42" s="1">
        <v>1294868</v>
      </c>
      <c r="B42" s="1" t="e">
        <f t="shared" ref="B42:B105" si="41">IF(#REF!&lt;500000,"Low Income",
IF(#REF!&lt;=1000000,"Middle Income",
"High Income"))</f>
        <v>#REF!</v>
      </c>
      <c r="C42" s="1" t="s">
        <v>32</v>
      </c>
      <c r="D42" s="1" t="s">
        <v>30</v>
      </c>
      <c r="E42" s="1" t="s">
        <v>16</v>
      </c>
      <c r="F42" s="2">
        <v>31134</v>
      </c>
      <c r="G42" s="1" t="s">
        <v>28</v>
      </c>
      <c r="H42" s="1" t="s">
        <v>69</v>
      </c>
      <c r="I42" s="1" t="str">
        <f t="shared" si="1"/>
        <v>Jan-2023</v>
      </c>
      <c r="J42" s="1">
        <v>5</v>
      </c>
    </row>
    <row r="43" spans="1:10" x14ac:dyDescent="0.3">
      <c r="A43" s="1">
        <v>1331342</v>
      </c>
      <c r="B43" s="1" t="e">
        <f t="shared" ref="B43:B106" si="42">IF(#REF!&lt;500000,"Low Income",
IF(#REF!&lt;=1000000,"Middle Income",
"High Income"))</f>
        <v>#REF!</v>
      </c>
      <c r="C43" s="1" t="s">
        <v>34</v>
      </c>
      <c r="D43" s="1" t="s">
        <v>30</v>
      </c>
      <c r="E43" s="1" t="s">
        <v>20</v>
      </c>
      <c r="F43" s="2">
        <v>10832</v>
      </c>
      <c r="G43" s="1" t="s">
        <v>17</v>
      </c>
      <c r="H43" s="1" t="s">
        <v>70</v>
      </c>
      <c r="I43" s="1" t="str">
        <f t="shared" si="1"/>
        <v>Apr-2023</v>
      </c>
      <c r="J43" s="1">
        <v>3</v>
      </c>
    </row>
    <row r="44" spans="1:10" x14ac:dyDescent="0.3">
      <c r="A44" s="1">
        <v>1219377</v>
      </c>
      <c r="B44" s="1" t="e">
        <f t="shared" ref="B44:B107" si="43">IF(#REF!&lt;500000,"Low Income",
IF(#REF!&lt;=1000000,"Middle Income",
"High Income"))</f>
        <v>#REF!</v>
      </c>
      <c r="C44" s="1" t="s">
        <v>34</v>
      </c>
      <c r="D44" s="1" t="s">
        <v>11</v>
      </c>
      <c r="E44" s="1" t="s">
        <v>16</v>
      </c>
      <c r="F44" s="2">
        <v>13361</v>
      </c>
      <c r="G44" s="1" t="s">
        <v>13</v>
      </c>
      <c r="H44" s="1" t="s">
        <v>71</v>
      </c>
      <c r="I44" s="1" t="str">
        <f t="shared" si="1"/>
        <v>Mar-2023</v>
      </c>
      <c r="J44" s="1">
        <v>5</v>
      </c>
    </row>
    <row r="45" spans="1:10" x14ac:dyDescent="0.3">
      <c r="A45" s="1">
        <v>1208588</v>
      </c>
      <c r="B45" s="1" t="e">
        <f t="shared" ref="B45:B108" si="44">IF(#REF!&lt;500000,"Low Income",
IF(#REF!&lt;=1000000,"Middle Income",
"High Income"))</f>
        <v>#REF!</v>
      </c>
      <c r="C45" s="1" t="s">
        <v>10</v>
      </c>
      <c r="D45" s="1" t="s">
        <v>30</v>
      </c>
      <c r="E45" s="1" t="s">
        <v>46</v>
      </c>
      <c r="F45" s="2">
        <v>48274</v>
      </c>
      <c r="G45" s="1" t="s">
        <v>28</v>
      </c>
      <c r="H45" s="1" t="s">
        <v>72</v>
      </c>
      <c r="I45" s="1" t="str">
        <f t="shared" si="1"/>
        <v>Dec-2024</v>
      </c>
      <c r="J45" s="1">
        <v>3</v>
      </c>
    </row>
    <row r="46" spans="1:10" x14ac:dyDescent="0.3">
      <c r="A46" s="1">
        <v>1359600</v>
      </c>
      <c r="B46" s="1" t="e">
        <f t="shared" ref="B46:B109" si="45">IF(#REF!&lt;500000,"Low Income",
IF(#REF!&lt;=1000000,"Middle Income",
"High Income"))</f>
        <v>#REF!</v>
      </c>
      <c r="C46" s="1" t="s">
        <v>19</v>
      </c>
      <c r="D46" s="1" t="s">
        <v>11</v>
      </c>
      <c r="E46" s="1" t="s">
        <v>16</v>
      </c>
      <c r="F46" s="2">
        <v>24072</v>
      </c>
      <c r="G46" s="1" t="s">
        <v>13</v>
      </c>
      <c r="H46" s="1" t="s">
        <v>60</v>
      </c>
      <c r="I46" s="1" t="str">
        <f t="shared" si="1"/>
        <v>Jan-2023</v>
      </c>
      <c r="J46" s="1">
        <v>4</v>
      </c>
    </row>
    <row r="47" spans="1:10" x14ac:dyDescent="0.3">
      <c r="A47" s="1">
        <v>714656</v>
      </c>
      <c r="B47" s="1" t="e">
        <f t="shared" ref="B47:B110" si="46">IF(#REF!&lt;500000,"Low Income",
IF(#REF!&lt;=1000000,"Middle Income",
"High Income"))</f>
        <v>#REF!</v>
      </c>
      <c r="C47" s="1" t="s">
        <v>34</v>
      </c>
      <c r="D47" s="1" t="s">
        <v>11</v>
      </c>
      <c r="E47" s="1" t="s">
        <v>27</v>
      </c>
      <c r="F47" s="2">
        <v>21975</v>
      </c>
      <c r="G47" s="1" t="s">
        <v>28</v>
      </c>
      <c r="H47" s="1" t="s">
        <v>73</v>
      </c>
      <c r="I47" s="1" t="str">
        <f t="shared" si="1"/>
        <v>Sep-2024</v>
      </c>
      <c r="J47" s="1">
        <v>4</v>
      </c>
    </row>
    <row r="48" spans="1:10" x14ac:dyDescent="0.3">
      <c r="A48" s="1">
        <v>1222958</v>
      </c>
      <c r="B48" s="1" t="e">
        <f t="shared" ref="B48:B111" si="47">IF(#REF!&lt;500000,"Low Income",
IF(#REF!&lt;=1000000,"Middle Income",
"High Income"))</f>
        <v>#REF!</v>
      </c>
      <c r="C48" s="1" t="s">
        <v>32</v>
      </c>
      <c r="D48" s="1" t="s">
        <v>11</v>
      </c>
      <c r="E48" s="1" t="s">
        <v>27</v>
      </c>
      <c r="F48" s="2">
        <v>35665</v>
      </c>
      <c r="G48" s="1" t="s">
        <v>28</v>
      </c>
      <c r="H48" s="1" t="s">
        <v>74</v>
      </c>
      <c r="I48" s="1" t="str">
        <f t="shared" si="1"/>
        <v>Jul-2024</v>
      </c>
      <c r="J48" s="1">
        <v>2</v>
      </c>
    </row>
    <row r="49" spans="1:10" x14ac:dyDescent="0.3">
      <c r="A49" s="1">
        <v>639720</v>
      </c>
      <c r="B49" s="1" t="e">
        <f t="shared" ref="B49:B112" si="48">IF(#REF!&lt;500000,"Low Income",
IF(#REF!&lt;=1000000,"Middle Income",
"High Income"))</f>
        <v>#REF!</v>
      </c>
      <c r="C49" s="1" t="s">
        <v>34</v>
      </c>
      <c r="D49" s="1" t="s">
        <v>11</v>
      </c>
      <c r="E49" s="1" t="s">
        <v>16</v>
      </c>
      <c r="F49" s="2">
        <v>32678</v>
      </c>
      <c r="G49" s="1" t="s">
        <v>13</v>
      </c>
      <c r="H49" s="1" t="s">
        <v>75</v>
      </c>
      <c r="I49" s="1" t="str">
        <f t="shared" si="1"/>
        <v>Jan-2024</v>
      </c>
      <c r="J49" s="1">
        <v>3</v>
      </c>
    </row>
    <row r="50" spans="1:10" x14ac:dyDescent="0.3">
      <c r="A50" s="1">
        <v>1283798</v>
      </c>
      <c r="B50" s="1" t="e">
        <f t="shared" ref="B50:B113" si="49">IF(#REF!&lt;500000,"Low Income",
IF(#REF!&lt;=1000000,"Middle Income",
"High Income"))</f>
        <v>#REF!</v>
      </c>
      <c r="C50" s="1" t="s">
        <v>15</v>
      </c>
      <c r="D50" s="1" t="s">
        <v>30</v>
      </c>
      <c r="E50" s="1" t="s">
        <v>12</v>
      </c>
      <c r="F50" s="2">
        <v>14702</v>
      </c>
      <c r="G50" s="1" t="s">
        <v>28</v>
      </c>
      <c r="H50" s="1" t="s">
        <v>61</v>
      </c>
      <c r="I50" s="1" t="str">
        <f t="shared" si="1"/>
        <v>Apr-2023</v>
      </c>
      <c r="J50" s="1">
        <v>4</v>
      </c>
    </row>
    <row r="51" spans="1:10" x14ac:dyDescent="0.3">
      <c r="A51" s="1">
        <v>456250</v>
      </c>
      <c r="B51" s="1" t="e">
        <f t="shared" ref="B51:B114" si="50">IF(#REF!&lt;500000,"Low Income",
IF(#REF!&lt;=1000000,"Middle Income",
"High Income"))</f>
        <v>#REF!</v>
      </c>
      <c r="C51" s="1" t="s">
        <v>23</v>
      </c>
      <c r="D51" s="1" t="s">
        <v>11</v>
      </c>
      <c r="E51" s="1" t="s">
        <v>20</v>
      </c>
      <c r="F51" s="2">
        <v>33156</v>
      </c>
      <c r="G51" s="1" t="s">
        <v>13</v>
      </c>
      <c r="H51" s="1" t="s">
        <v>76</v>
      </c>
      <c r="I51" s="1" t="str">
        <f t="shared" si="1"/>
        <v>Aug-2024</v>
      </c>
      <c r="J51" s="1">
        <v>5</v>
      </c>
    </row>
    <row r="52" spans="1:10" x14ac:dyDescent="0.3">
      <c r="A52" s="1">
        <v>1051559</v>
      </c>
      <c r="B52" s="1" t="e">
        <f t="shared" ref="B52:B115" si="51">IF(#REF!&lt;500000,"Low Income",
IF(#REF!&lt;=1000000,"Middle Income",
"High Income"))</f>
        <v>#REF!</v>
      </c>
      <c r="C52" s="1" t="s">
        <v>32</v>
      </c>
      <c r="D52" s="1" t="s">
        <v>30</v>
      </c>
      <c r="E52" s="1" t="s">
        <v>12</v>
      </c>
      <c r="F52" s="2">
        <v>33786</v>
      </c>
      <c r="G52" s="1" t="s">
        <v>13</v>
      </c>
      <c r="H52" s="1" t="s">
        <v>77</v>
      </c>
      <c r="I52" s="1" t="str">
        <f t="shared" si="1"/>
        <v>Jan-2023</v>
      </c>
      <c r="J52" s="1">
        <v>3</v>
      </c>
    </row>
    <row r="53" spans="1:10" x14ac:dyDescent="0.3">
      <c r="A53" s="1">
        <v>905722</v>
      </c>
      <c r="B53" s="1" t="e">
        <f t="shared" ref="B53:B116" si="52">IF(#REF!&lt;500000,"Low Income",
IF(#REF!&lt;=1000000,"Middle Income",
"High Income"))</f>
        <v>#REF!</v>
      </c>
      <c r="C53" s="1" t="s">
        <v>39</v>
      </c>
      <c r="D53" s="1" t="s">
        <v>11</v>
      </c>
      <c r="E53" s="1" t="s">
        <v>16</v>
      </c>
      <c r="F53" s="2">
        <v>3737</v>
      </c>
      <c r="G53" s="1" t="s">
        <v>13</v>
      </c>
      <c r="H53" s="1" t="s">
        <v>78</v>
      </c>
      <c r="I53" s="1" t="str">
        <f t="shared" si="1"/>
        <v>Jul-2023</v>
      </c>
      <c r="J53" s="1">
        <v>5</v>
      </c>
    </row>
    <row r="54" spans="1:10" x14ac:dyDescent="0.3">
      <c r="A54" s="1">
        <v>576366</v>
      </c>
      <c r="B54" s="1" t="e">
        <f t="shared" ref="B54:B117" si="53">IF(#REF!&lt;500000,"Low Income",
IF(#REF!&lt;=1000000,"Middle Income",
"High Income"))</f>
        <v>#REF!</v>
      </c>
      <c r="C54" s="1" t="s">
        <v>23</v>
      </c>
      <c r="D54" s="1" t="s">
        <v>30</v>
      </c>
      <c r="E54" s="1" t="s">
        <v>27</v>
      </c>
      <c r="F54" s="2">
        <v>3644</v>
      </c>
      <c r="G54" s="1" t="s">
        <v>17</v>
      </c>
      <c r="H54" s="1" t="s">
        <v>79</v>
      </c>
      <c r="I54" s="1" t="str">
        <f t="shared" si="1"/>
        <v>Sep-2023</v>
      </c>
      <c r="J54" s="1">
        <v>4</v>
      </c>
    </row>
    <row r="55" spans="1:10" x14ac:dyDescent="0.3">
      <c r="A55" s="1">
        <v>1222045</v>
      </c>
      <c r="B55" s="1" t="e">
        <f t="shared" ref="B55:B118" si="54">IF(#REF!&lt;500000,"Low Income",
IF(#REF!&lt;=1000000,"Middle Income",
"High Income"))</f>
        <v>#REF!</v>
      </c>
      <c r="C55" s="1" t="s">
        <v>23</v>
      </c>
      <c r="D55" s="1" t="s">
        <v>11</v>
      </c>
      <c r="E55" s="1" t="s">
        <v>46</v>
      </c>
      <c r="F55" s="2">
        <v>19341</v>
      </c>
      <c r="G55" s="1" t="s">
        <v>28</v>
      </c>
      <c r="H55" s="1" t="s">
        <v>80</v>
      </c>
      <c r="I55" s="1" t="str">
        <f t="shared" si="1"/>
        <v>Aug-2023</v>
      </c>
      <c r="J55" s="1">
        <v>4</v>
      </c>
    </row>
    <row r="56" spans="1:10" x14ac:dyDescent="0.3">
      <c r="A56" s="1">
        <v>1379925</v>
      </c>
      <c r="B56" s="1" t="e">
        <f t="shared" ref="B56:B119" si="55">IF(#REF!&lt;500000,"Low Income",
IF(#REF!&lt;=1000000,"Middle Income",
"High Income"))</f>
        <v>#REF!</v>
      </c>
      <c r="C56" s="1" t="s">
        <v>10</v>
      </c>
      <c r="D56" s="1" t="s">
        <v>30</v>
      </c>
      <c r="E56" s="1" t="s">
        <v>36</v>
      </c>
      <c r="F56" s="2">
        <v>45008</v>
      </c>
      <c r="G56" s="1" t="s">
        <v>13</v>
      </c>
      <c r="H56" s="1" t="s">
        <v>81</v>
      </c>
      <c r="I56" s="1" t="str">
        <f t="shared" si="1"/>
        <v>Sep-2024</v>
      </c>
      <c r="J56" s="1">
        <v>2</v>
      </c>
    </row>
    <row r="57" spans="1:10" x14ac:dyDescent="0.3">
      <c r="A57" s="1">
        <v>1378515</v>
      </c>
      <c r="B57" s="1" t="e">
        <f t="shared" ref="B57:B120" si="56">IF(#REF!&lt;500000,"Low Income",
IF(#REF!&lt;=1000000,"Middle Income",
"High Income"))</f>
        <v>#REF!</v>
      </c>
      <c r="C57" s="1" t="s">
        <v>39</v>
      </c>
      <c r="D57" s="1" t="s">
        <v>30</v>
      </c>
      <c r="E57" s="1" t="s">
        <v>46</v>
      </c>
      <c r="F57" s="2">
        <v>4338</v>
      </c>
      <c r="G57" s="1" t="s">
        <v>28</v>
      </c>
      <c r="H57" s="1" t="s">
        <v>82</v>
      </c>
      <c r="I57" s="1" t="str">
        <f t="shared" si="1"/>
        <v>Sep-2023</v>
      </c>
      <c r="J57" s="1">
        <v>5</v>
      </c>
    </row>
    <row r="58" spans="1:10" x14ac:dyDescent="0.3">
      <c r="A58" s="1">
        <v>956636</v>
      </c>
      <c r="B58" s="1" t="e">
        <f t="shared" ref="B58:B121" si="57">IF(#REF!&lt;500000,"Low Income",
IF(#REF!&lt;=1000000,"Middle Income",
"High Income"))</f>
        <v>#REF!</v>
      </c>
      <c r="C58" s="1" t="s">
        <v>34</v>
      </c>
      <c r="D58" s="1" t="s">
        <v>11</v>
      </c>
      <c r="E58" s="1" t="s">
        <v>27</v>
      </c>
      <c r="F58" s="2">
        <v>4214</v>
      </c>
      <c r="G58" s="1" t="s">
        <v>28</v>
      </c>
      <c r="H58" s="1" t="s">
        <v>80</v>
      </c>
      <c r="I58" s="1" t="str">
        <f t="shared" si="1"/>
        <v>Aug-2023</v>
      </c>
      <c r="J58" s="1">
        <v>3</v>
      </c>
    </row>
    <row r="59" spans="1:10" x14ac:dyDescent="0.3">
      <c r="A59" s="1">
        <v>603515</v>
      </c>
      <c r="B59" s="1" t="e">
        <f t="shared" ref="B59:B122" si="58">IF(#REF!&lt;500000,"Low Income",
IF(#REF!&lt;=1000000,"Middle Income",
"High Income"))</f>
        <v>#REF!</v>
      </c>
      <c r="C59" s="1" t="s">
        <v>32</v>
      </c>
      <c r="D59" s="1" t="s">
        <v>11</v>
      </c>
      <c r="E59" s="1" t="s">
        <v>36</v>
      </c>
      <c r="F59" s="2">
        <v>1055</v>
      </c>
      <c r="G59" s="1" t="s">
        <v>21</v>
      </c>
      <c r="H59" s="1" t="s">
        <v>83</v>
      </c>
      <c r="I59" s="1" t="str">
        <f t="shared" si="1"/>
        <v>Mar-2024</v>
      </c>
      <c r="J59" s="1">
        <v>4</v>
      </c>
    </row>
    <row r="60" spans="1:10" x14ac:dyDescent="0.3">
      <c r="A60" s="1">
        <v>954029</v>
      </c>
      <c r="B60" s="1" t="e">
        <f t="shared" ref="B60:B123" si="59">IF(#REF!&lt;500000,"Low Income",
IF(#REF!&lt;=1000000,"Middle Income",
"High Income"))</f>
        <v>#REF!</v>
      </c>
      <c r="C60" s="1" t="s">
        <v>32</v>
      </c>
      <c r="D60" s="1" t="s">
        <v>11</v>
      </c>
      <c r="E60" s="1" t="s">
        <v>20</v>
      </c>
      <c r="F60" s="2">
        <v>44101</v>
      </c>
      <c r="G60" s="1" t="s">
        <v>13</v>
      </c>
      <c r="H60" s="1" t="s">
        <v>84</v>
      </c>
      <c r="I60" s="1" t="str">
        <f t="shared" si="1"/>
        <v>Jul-2023</v>
      </c>
      <c r="J60" s="1">
        <v>2</v>
      </c>
    </row>
    <row r="61" spans="1:10" x14ac:dyDescent="0.3">
      <c r="A61" s="1">
        <v>425614</v>
      </c>
      <c r="B61" s="1" t="e">
        <f t="shared" ref="B61:B124" si="60">IF(#REF!&lt;500000,"Low Income",
IF(#REF!&lt;=1000000,"Middle Income",
"High Income"))</f>
        <v>#REF!</v>
      </c>
      <c r="C61" s="1" t="s">
        <v>15</v>
      </c>
      <c r="D61" s="1" t="s">
        <v>30</v>
      </c>
      <c r="E61" s="1" t="s">
        <v>20</v>
      </c>
      <c r="F61" s="2">
        <v>11238</v>
      </c>
      <c r="G61" s="1" t="s">
        <v>21</v>
      </c>
      <c r="H61" s="1" t="s">
        <v>85</v>
      </c>
      <c r="I61" s="1" t="str">
        <f t="shared" si="1"/>
        <v>Oct-2023</v>
      </c>
      <c r="J61" s="1">
        <v>2</v>
      </c>
    </row>
    <row r="62" spans="1:10" x14ac:dyDescent="0.3">
      <c r="A62" s="1">
        <v>865460</v>
      </c>
      <c r="B62" s="1" t="e">
        <f t="shared" ref="B62:B125" si="61">IF(#REF!&lt;500000,"Low Income",
IF(#REF!&lt;=1000000,"Middle Income",
"High Income"))</f>
        <v>#REF!</v>
      </c>
      <c r="C62" s="1" t="s">
        <v>34</v>
      </c>
      <c r="D62" s="1" t="s">
        <v>11</v>
      </c>
      <c r="E62" s="1" t="s">
        <v>46</v>
      </c>
      <c r="F62" s="2">
        <v>48438</v>
      </c>
      <c r="G62" s="1" t="s">
        <v>13</v>
      </c>
      <c r="H62" s="1" t="s">
        <v>86</v>
      </c>
      <c r="I62" s="1" t="str">
        <f t="shared" si="1"/>
        <v>May-2023</v>
      </c>
      <c r="J62" s="1">
        <v>3</v>
      </c>
    </row>
    <row r="63" spans="1:10" x14ac:dyDescent="0.3">
      <c r="A63" s="1">
        <v>865138</v>
      </c>
      <c r="B63" s="1" t="e">
        <f t="shared" ref="B63:B126" si="62">IF(#REF!&lt;500000,"Low Income",
IF(#REF!&lt;=1000000,"Middle Income",
"High Income"))</f>
        <v>#REF!</v>
      </c>
      <c r="C63" s="1" t="s">
        <v>34</v>
      </c>
      <c r="D63" s="1" t="s">
        <v>30</v>
      </c>
      <c r="E63" s="1" t="s">
        <v>27</v>
      </c>
      <c r="F63" s="2">
        <v>15815</v>
      </c>
      <c r="G63" s="1" t="s">
        <v>13</v>
      </c>
      <c r="H63" s="1" t="s">
        <v>87</v>
      </c>
      <c r="I63" s="1" t="str">
        <f t="shared" si="1"/>
        <v>Jun-2024</v>
      </c>
      <c r="J63" s="1">
        <v>4</v>
      </c>
    </row>
    <row r="64" spans="1:10" x14ac:dyDescent="0.3">
      <c r="A64" s="1">
        <v>1016940</v>
      </c>
      <c r="B64" s="1" t="e">
        <f t="shared" ref="B64:B127" si="63">IF(#REF!&lt;500000,"Low Income",
IF(#REF!&lt;=1000000,"Middle Income",
"High Income"))</f>
        <v>#REF!</v>
      </c>
      <c r="C64" s="1" t="s">
        <v>15</v>
      </c>
      <c r="D64" s="1" t="s">
        <v>30</v>
      </c>
      <c r="E64" s="1" t="s">
        <v>36</v>
      </c>
      <c r="F64" s="2">
        <v>21249</v>
      </c>
      <c r="G64" s="1" t="s">
        <v>21</v>
      </c>
      <c r="H64" s="1" t="s">
        <v>88</v>
      </c>
      <c r="I64" s="1" t="str">
        <f t="shared" si="1"/>
        <v>Jan-2023</v>
      </c>
      <c r="J64" s="1">
        <v>3</v>
      </c>
    </row>
    <row r="65" spans="1:10" x14ac:dyDescent="0.3">
      <c r="A65" s="1">
        <v>1120593</v>
      </c>
      <c r="B65" s="1" t="e">
        <f t="shared" ref="B65:B128" si="64">IF(#REF!&lt;500000,"Low Income",
IF(#REF!&lt;=1000000,"Middle Income",
"High Income"))</f>
        <v>#REF!</v>
      </c>
      <c r="C65" s="1" t="s">
        <v>34</v>
      </c>
      <c r="D65" s="1" t="s">
        <v>30</v>
      </c>
      <c r="E65" s="1" t="s">
        <v>12</v>
      </c>
      <c r="F65" s="2">
        <v>49663</v>
      </c>
      <c r="G65" s="1" t="s">
        <v>21</v>
      </c>
      <c r="H65" s="1" t="s">
        <v>89</v>
      </c>
      <c r="I65" s="1" t="str">
        <f t="shared" si="1"/>
        <v>Aug-2023</v>
      </c>
      <c r="J65" s="1">
        <v>4</v>
      </c>
    </row>
    <row r="66" spans="1:10" x14ac:dyDescent="0.3">
      <c r="A66" s="1">
        <v>567729</v>
      </c>
      <c r="B66" s="1" t="e">
        <f t="shared" ref="B66:B129" si="65">IF(#REF!&lt;500000,"Low Income",
IF(#REF!&lt;=1000000,"Middle Income",
"High Income"))</f>
        <v>#REF!</v>
      </c>
      <c r="C66" s="1" t="s">
        <v>39</v>
      </c>
      <c r="D66" s="1" t="s">
        <v>11</v>
      </c>
      <c r="E66" s="1" t="s">
        <v>12</v>
      </c>
      <c r="F66" s="2">
        <v>22937</v>
      </c>
      <c r="G66" s="1" t="s">
        <v>17</v>
      </c>
      <c r="H66" s="1" t="s">
        <v>90</v>
      </c>
      <c r="I66" s="1" t="str">
        <f t="shared" ref="I66:I129" si="66">TEXT(H66,"mmm-yyy")</f>
        <v>Jul-2024</v>
      </c>
      <c r="J66" s="1">
        <v>4</v>
      </c>
    </row>
    <row r="67" spans="1:10" x14ac:dyDescent="0.3">
      <c r="A67" s="1">
        <v>564156</v>
      </c>
      <c r="B67" s="1" t="e">
        <f t="shared" ref="B67:B130" si="67">IF(#REF!&lt;500000,"Low Income",
IF(#REF!&lt;=1000000,"Middle Income",
"High Income"))</f>
        <v>#REF!</v>
      </c>
      <c r="C67" s="1" t="s">
        <v>10</v>
      </c>
      <c r="D67" s="1" t="s">
        <v>11</v>
      </c>
      <c r="E67" s="1" t="s">
        <v>24</v>
      </c>
      <c r="F67" s="2">
        <v>34895</v>
      </c>
      <c r="G67" s="1" t="s">
        <v>13</v>
      </c>
      <c r="H67" s="1" t="s">
        <v>91</v>
      </c>
      <c r="I67" s="1" t="str">
        <f t="shared" si="66"/>
        <v>May-2024</v>
      </c>
      <c r="J67" s="1">
        <v>5</v>
      </c>
    </row>
    <row r="68" spans="1:10" x14ac:dyDescent="0.3">
      <c r="A68" s="1">
        <v>1021127</v>
      </c>
      <c r="B68" s="1" t="e">
        <f t="shared" ref="B68:B131" si="68">IF(#REF!&lt;500000,"Low Income",
IF(#REF!&lt;=1000000,"Middle Income",
"High Income"))</f>
        <v>#REF!</v>
      </c>
      <c r="C68" s="1" t="s">
        <v>10</v>
      </c>
      <c r="D68" s="1" t="s">
        <v>30</v>
      </c>
      <c r="E68" s="1" t="s">
        <v>27</v>
      </c>
      <c r="F68" s="2">
        <v>44940</v>
      </c>
      <c r="G68" s="1" t="s">
        <v>21</v>
      </c>
      <c r="H68" s="1" t="s">
        <v>92</v>
      </c>
      <c r="I68" s="1" t="str">
        <f t="shared" si="66"/>
        <v>Feb-2024</v>
      </c>
      <c r="J68" s="1">
        <v>5</v>
      </c>
    </row>
    <row r="69" spans="1:10" x14ac:dyDescent="0.3">
      <c r="A69" s="1">
        <v>289838</v>
      </c>
      <c r="B69" s="1" t="e">
        <f t="shared" ref="B69:B132" si="69">IF(#REF!&lt;500000,"Low Income",
IF(#REF!&lt;=1000000,"Middle Income",
"High Income"))</f>
        <v>#REF!</v>
      </c>
      <c r="C69" s="1" t="s">
        <v>32</v>
      </c>
      <c r="D69" s="1" t="s">
        <v>30</v>
      </c>
      <c r="E69" s="1" t="s">
        <v>12</v>
      </c>
      <c r="F69" s="2">
        <v>18766</v>
      </c>
      <c r="G69" s="1" t="s">
        <v>17</v>
      </c>
      <c r="H69" s="1" t="s">
        <v>93</v>
      </c>
      <c r="I69" s="1" t="str">
        <f t="shared" si="66"/>
        <v>Mar-2024</v>
      </c>
      <c r="J69" s="1">
        <v>4</v>
      </c>
    </row>
    <row r="70" spans="1:10" x14ac:dyDescent="0.3">
      <c r="A70" s="1">
        <v>859175</v>
      </c>
      <c r="B70" s="1" t="e">
        <f t="shared" ref="B70:B133" si="70">IF(#REF!&lt;500000,"Low Income",
IF(#REF!&lt;=1000000,"Middle Income",
"High Income"))</f>
        <v>#REF!</v>
      </c>
      <c r="C70" s="1" t="s">
        <v>10</v>
      </c>
      <c r="D70" s="1" t="s">
        <v>30</v>
      </c>
      <c r="E70" s="1" t="s">
        <v>36</v>
      </c>
      <c r="F70" s="2">
        <v>42020</v>
      </c>
      <c r="G70" s="1" t="s">
        <v>13</v>
      </c>
      <c r="H70" s="1" t="s">
        <v>94</v>
      </c>
      <c r="I70" s="1" t="str">
        <f t="shared" si="66"/>
        <v>Dec-2024</v>
      </c>
      <c r="J70" s="1">
        <v>3</v>
      </c>
    </row>
    <row r="71" spans="1:10" x14ac:dyDescent="0.3">
      <c r="A71" s="1">
        <v>1442015</v>
      </c>
      <c r="B71" s="1" t="e">
        <f t="shared" ref="B71:B134" si="71">IF(#REF!&lt;500000,"Low Income",
IF(#REF!&lt;=1000000,"Middle Income",
"High Income"))</f>
        <v>#REF!</v>
      </c>
      <c r="C71" s="1" t="s">
        <v>19</v>
      </c>
      <c r="D71" s="1" t="s">
        <v>11</v>
      </c>
      <c r="E71" s="1" t="s">
        <v>24</v>
      </c>
      <c r="F71" s="2">
        <v>5881</v>
      </c>
      <c r="G71" s="1" t="s">
        <v>13</v>
      </c>
      <c r="H71" s="1" t="s">
        <v>95</v>
      </c>
      <c r="I71" s="1" t="str">
        <f t="shared" si="66"/>
        <v>Aug-2024</v>
      </c>
      <c r="J71" s="1">
        <v>3</v>
      </c>
    </row>
    <row r="72" spans="1:10" x14ac:dyDescent="0.3">
      <c r="A72" s="1">
        <v>375275</v>
      </c>
      <c r="B72" s="1" t="e">
        <f t="shared" ref="B72:B135" si="72">IF(#REF!&lt;500000,"Low Income",
IF(#REF!&lt;=1000000,"Middle Income",
"High Income"))</f>
        <v>#REF!</v>
      </c>
      <c r="C72" s="1" t="s">
        <v>34</v>
      </c>
      <c r="D72" s="1" t="s">
        <v>30</v>
      </c>
      <c r="E72" s="1" t="s">
        <v>36</v>
      </c>
      <c r="F72" s="2">
        <v>38823</v>
      </c>
      <c r="G72" s="1" t="s">
        <v>28</v>
      </c>
      <c r="H72" s="1" t="s">
        <v>43</v>
      </c>
      <c r="I72" s="1" t="str">
        <f t="shared" si="66"/>
        <v>Nov-2024</v>
      </c>
      <c r="J72" s="1">
        <v>3</v>
      </c>
    </row>
    <row r="73" spans="1:10" x14ac:dyDescent="0.3">
      <c r="A73" s="1">
        <v>574948</v>
      </c>
      <c r="B73" s="1" t="e">
        <f t="shared" ref="B73:B136" si="73">IF(#REF!&lt;500000,"Low Income",
IF(#REF!&lt;=1000000,"Middle Income",
"High Income"))</f>
        <v>#REF!</v>
      </c>
      <c r="C73" s="1" t="s">
        <v>34</v>
      </c>
      <c r="D73" s="1" t="s">
        <v>11</v>
      </c>
      <c r="E73" s="1" t="s">
        <v>16</v>
      </c>
      <c r="F73" s="2">
        <v>20559</v>
      </c>
      <c r="G73" s="1" t="s">
        <v>17</v>
      </c>
      <c r="H73" s="1" t="s">
        <v>96</v>
      </c>
      <c r="I73" s="1" t="str">
        <f t="shared" si="66"/>
        <v>May-2024</v>
      </c>
      <c r="J73" s="1">
        <v>5</v>
      </c>
    </row>
    <row r="74" spans="1:10" x14ac:dyDescent="0.3">
      <c r="A74" s="1">
        <v>598916</v>
      </c>
      <c r="B74" s="1" t="e">
        <f t="shared" ref="B74:B137" si="74">IF(#REF!&lt;500000,"Low Income",
IF(#REF!&lt;=1000000,"Middle Income",
"High Income"))</f>
        <v>#REF!</v>
      </c>
      <c r="C74" s="1" t="s">
        <v>19</v>
      </c>
      <c r="D74" s="1" t="s">
        <v>30</v>
      </c>
      <c r="E74" s="1" t="s">
        <v>20</v>
      </c>
      <c r="F74" s="2">
        <v>22240</v>
      </c>
      <c r="G74" s="1" t="s">
        <v>21</v>
      </c>
      <c r="H74" s="1" t="s">
        <v>97</v>
      </c>
      <c r="I74" s="1" t="str">
        <f t="shared" si="66"/>
        <v>Mar-2024</v>
      </c>
      <c r="J74" s="1">
        <v>4</v>
      </c>
    </row>
    <row r="75" spans="1:10" x14ac:dyDescent="0.3">
      <c r="A75" s="1">
        <v>800112</v>
      </c>
      <c r="B75" s="1" t="e">
        <f t="shared" ref="B75:B138" si="75">IF(#REF!&lt;500000,"Low Income",
IF(#REF!&lt;=1000000,"Middle Income",
"High Income"))</f>
        <v>#REF!</v>
      </c>
      <c r="C75" s="1" t="s">
        <v>19</v>
      </c>
      <c r="D75" s="1" t="s">
        <v>11</v>
      </c>
      <c r="E75" s="1" t="s">
        <v>12</v>
      </c>
      <c r="F75" s="2">
        <v>19253</v>
      </c>
      <c r="G75" s="1" t="s">
        <v>17</v>
      </c>
      <c r="H75" s="1" t="s">
        <v>98</v>
      </c>
      <c r="I75" s="1" t="str">
        <f t="shared" si="66"/>
        <v>Dec-2023</v>
      </c>
      <c r="J75" s="1">
        <v>2</v>
      </c>
    </row>
    <row r="76" spans="1:10" x14ac:dyDescent="0.3">
      <c r="A76" s="1">
        <v>1090462</v>
      </c>
      <c r="B76" s="1" t="e">
        <f t="shared" ref="B76:B139" si="76">IF(#REF!&lt;500000,"Low Income",
IF(#REF!&lt;=1000000,"Middle Income",
"High Income"))</f>
        <v>#REF!</v>
      </c>
      <c r="C76" s="1" t="s">
        <v>15</v>
      </c>
      <c r="D76" s="1" t="s">
        <v>11</v>
      </c>
      <c r="E76" s="1" t="s">
        <v>36</v>
      </c>
      <c r="F76" s="2">
        <v>39256</v>
      </c>
      <c r="G76" s="1" t="s">
        <v>21</v>
      </c>
      <c r="H76" s="1" t="s">
        <v>99</v>
      </c>
      <c r="I76" s="1" t="str">
        <f t="shared" si="66"/>
        <v>May-2023</v>
      </c>
      <c r="J76" s="1">
        <v>5</v>
      </c>
    </row>
    <row r="77" spans="1:10" x14ac:dyDescent="0.3">
      <c r="A77" s="1">
        <v>767424</v>
      </c>
      <c r="B77" s="1" t="e">
        <f t="shared" ref="B77:B140" si="77">IF(#REF!&lt;500000,"Low Income",
IF(#REF!&lt;=1000000,"Middle Income",
"High Income"))</f>
        <v>#REF!</v>
      </c>
      <c r="C77" s="1" t="s">
        <v>19</v>
      </c>
      <c r="D77" s="1" t="s">
        <v>30</v>
      </c>
      <c r="E77" s="1" t="s">
        <v>16</v>
      </c>
      <c r="F77" s="2">
        <v>20984</v>
      </c>
      <c r="G77" s="1" t="s">
        <v>17</v>
      </c>
      <c r="H77" s="1" t="s">
        <v>100</v>
      </c>
      <c r="I77" s="1" t="str">
        <f t="shared" si="66"/>
        <v>Mar-2024</v>
      </c>
      <c r="J77" s="1">
        <v>5</v>
      </c>
    </row>
    <row r="78" spans="1:10" x14ac:dyDescent="0.3">
      <c r="A78" s="1">
        <v>861538</v>
      </c>
      <c r="B78" s="1" t="e">
        <f t="shared" ref="B78:B141" si="78">IF(#REF!&lt;500000,"Low Income",
IF(#REF!&lt;=1000000,"Middle Income",
"High Income"))</f>
        <v>#REF!</v>
      </c>
      <c r="C78" s="1" t="s">
        <v>19</v>
      </c>
      <c r="D78" s="1" t="s">
        <v>11</v>
      </c>
      <c r="E78" s="1" t="s">
        <v>12</v>
      </c>
      <c r="F78" s="2">
        <v>44075</v>
      </c>
      <c r="G78" s="1" t="s">
        <v>28</v>
      </c>
      <c r="H78" s="1" t="s">
        <v>101</v>
      </c>
      <c r="I78" s="1" t="str">
        <f t="shared" si="66"/>
        <v>May-2024</v>
      </c>
      <c r="J78" s="1">
        <v>4</v>
      </c>
    </row>
    <row r="79" spans="1:10" x14ac:dyDescent="0.3">
      <c r="A79" s="1">
        <v>1221572</v>
      </c>
      <c r="B79" s="1" t="e">
        <f t="shared" ref="B79:B142" si="79">IF(#REF!&lt;500000,"Low Income",
IF(#REF!&lt;=1000000,"Middle Income",
"High Income"))</f>
        <v>#REF!</v>
      </c>
      <c r="C79" s="1" t="s">
        <v>34</v>
      </c>
      <c r="D79" s="1" t="s">
        <v>30</v>
      </c>
      <c r="E79" s="1" t="s">
        <v>24</v>
      </c>
      <c r="F79" s="2">
        <v>2686</v>
      </c>
      <c r="G79" s="1" t="s">
        <v>21</v>
      </c>
      <c r="H79" s="1" t="s">
        <v>102</v>
      </c>
      <c r="I79" s="1" t="str">
        <f t="shared" si="66"/>
        <v>Dec-2023</v>
      </c>
      <c r="J79" s="1">
        <v>3</v>
      </c>
    </row>
    <row r="80" spans="1:10" x14ac:dyDescent="0.3">
      <c r="A80" s="1">
        <v>1286481</v>
      </c>
      <c r="B80" s="1" t="e">
        <f t="shared" ref="B80:B143" si="80">IF(#REF!&lt;500000,"Low Income",
IF(#REF!&lt;=1000000,"Middle Income",
"High Income"))</f>
        <v>#REF!</v>
      </c>
      <c r="C80" s="1" t="s">
        <v>23</v>
      </c>
      <c r="D80" s="1" t="s">
        <v>30</v>
      </c>
      <c r="E80" s="1" t="s">
        <v>24</v>
      </c>
      <c r="F80" s="2">
        <v>12116</v>
      </c>
      <c r="G80" s="1" t="s">
        <v>13</v>
      </c>
      <c r="H80" s="1" t="s">
        <v>103</v>
      </c>
      <c r="I80" s="1" t="str">
        <f t="shared" si="66"/>
        <v>Dec-2024</v>
      </c>
      <c r="J80" s="1">
        <v>3</v>
      </c>
    </row>
    <row r="81" spans="1:10" x14ac:dyDescent="0.3">
      <c r="A81" s="1">
        <v>1255764</v>
      </c>
      <c r="B81" s="1" t="e">
        <f t="shared" ref="B81:B144" si="81">IF(#REF!&lt;500000,"Low Income",
IF(#REF!&lt;=1000000,"Middle Income",
"High Income"))</f>
        <v>#REF!</v>
      </c>
      <c r="C81" s="1" t="s">
        <v>19</v>
      </c>
      <c r="D81" s="1" t="s">
        <v>11</v>
      </c>
      <c r="E81" s="1" t="s">
        <v>46</v>
      </c>
      <c r="F81" s="2">
        <v>33173</v>
      </c>
      <c r="G81" s="1" t="s">
        <v>21</v>
      </c>
      <c r="H81" s="1" t="s">
        <v>104</v>
      </c>
      <c r="I81" s="1" t="str">
        <f t="shared" si="66"/>
        <v>Jun-2023</v>
      </c>
      <c r="J81" s="1">
        <v>5</v>
      </c>
    </row>
    <row r="82" spans="1:10" x14ac:dyDescent="0.3">
      <c r="A82" s="1">
        <v>914357</v>
      </c>
      <c r="B82" s="1" t="e">
        <f t="shared" ref="B82:B145" si="82">IF(#REF!&lt;500000,"Low Income",
IF(#REF!&lt;=1000000,"Middle Income",
"High Income"))</f>
        <v>#REF!</v>
      </c>
      <c r="C82" s="1" t="s">
        <v>34</v>
      </c>
      <c r="D82" s="1" t="s">
        <v>11</v>
      </c>
      <c r="E82" s="1" t="s">
        <v>36</v>
      </c>
      <c r="F82" s="2">
        <v>12749</v>
      </c>
      <c r="G82" s="1" t="s">
        <v>17</v>
      </c>
      <c r="H82" s="1" t="s">
        <v>76</v>
      </c>
      <c r="I82" s="1" t="str">
        <f t="shared" si="66"/>
        <v>Aug-2024</v>
      </c>
      <c r="J82" s="1">
        <v>3</v>
      </c>
    </row>
    <row r="83" spans="1:10" x14ac:dyDescent="0.3">
      <c r="A83" s="1">
        <v>1150458</v>
      </c>
      <c r="B83" s="1" t="e">
        <f t="shared" ref="B83:B146" si="83">IF(#REF!&lt;500000,"Low Income",
IF(#REF!&lt;=1000000,"Middle Income",
"High Income"))</f>
        <v>#REF!</v>
      </c>
      <c r="C83" s="1" t="s">
        <v>39</v>
      </c>
      <c r="D83" s="1" t="s">
        <v>11</v>
      </c>
      <c r="E83" s="1" t="s">
        <v>12</v>
      </c>
      <c r="F83" s="2">
        <v>36325</v>
      </c>
      <c r="G83" s="1" t="s">
        <v>21</v>
      </c>
      <c r="H83" s="1" t="s">
        <v>105</v>
      </c>
      <c r="I83" s="1" t="str">
        <f t="shared" si="66"/>
        <v>Dec-2023</v>
      </c>
      <c r="J83" s="1">
        <v>3</v>
      </c>
    </row>
    <row r="84" spans="1:10" x14ac:dyDescent="0.3">
      <c r="A84" s="1">
        <v>828621</v>
      </c>
      <c r="B84" s="1" t="e">
        <f t="shared" ref="B84:B147" si="84">IF(#REF!&lt;500000,"Low Income",
IF(#REF!&lt;=1000000,"Middle Income",
"High Income"))</f>
        <v>#REF!</v>
      </c>
      <c r="C84" s="1" t="s">
        <v>10</v>
      </c>
      <c r="D84" s="1" t="s">
        <v>11</v>
      </c>
      <c r="E84" s="1" t="s">
        <v>12</v>
      </c>
      <c r="F84" s="2">
        <v>20943</v>
      </c>
      <c r="G84" s="1" t="s">
        <v>21</v>
      </c>
      <c r="H84" s="1" t="s">
        <v>106</v>
      </c>
      <c r="I84" s="1" t="str">
        <f t="shared" si="66"/>
        <v>Jun-2024</v>
      </c>
      <c r="J84" s="1">
        <v>5</v>
      </c>
    </row>
    <row r="85" spans="1:10" x14ac:dyDescent="0.3">
      <c r="A85" s="1">
        <v>775742</v>
      </c>
      <c r="B85" s="1" t="e">
        <f t="shared" ref="B85:B148" si="85">IF(#REF!&lt;500000,"Low Income",
IF(#REF!&lt;=1000000,"Middle Income",
"High Income"))</f>
        <v>#REF!</v>
      </c>
      <c r="C85" s="1" t="s">
        <v>15</v>
      </c>
      <c r="D85" s="1" t="s">
        <v>11</v>
      </c>
      <c r="E85" s="1" t="s">
        <v>46</v>
      </c>
      <c r="F85" s="2">
        <v>34603</v>
      </c>
      <c r="G85" s="1" t="s">
        <v>17</v>
      </c>
      <c r="H85" s="1" t="s">
        <v>107</v>
      </c>
      <c r="I85" s="1" t="str">
        <f t="shared" si="66"/>
        <v>Jul-2023</v>
      </c>
      <c r="J85" s="1">
        <v>5</v>
      </c>
    </row>
    <row r="86" spans="1:10" x14ac:dyDescent="0.3">
      <c r="A86" s="1">
        <v>1076677</v>
      </c>
      <c r="B86" s="1" t="e">
        <f t="shared" ref="B86:B149" si="86">IF(#REF!&lt;500000,"Low Income",
IF(#REF!&lt;=1000000,"Middle Income",
"High Income"))</f>
        <v>#REF!</v>
      </c>
      <c r="C86" s="1" t="s">
        <v>19</v>
      </c>
      <c r="D86" s="1" t="s">
        <v>30</v>
      </c>
      <c r="E86" s="1" t="s">
        <v>46</v>
      </c>
      <c r="F86" s="2">
        <v>26761</v>
      </c>
      <c r="G86" s="1" t="s">
        <v>13</v>
      </c>
      <c r="H86" s="1" t="s">
        <v>75</v>
      </c>
      <c r="I86" s="1" t="str">
        <f t="shared" si="66"/>
        <v>Jan-2024</v>
      </c>
      <c r="J86" s="1">
        <v>5</v>
      </c>
    </row>
    <row r="87" spans="1:10" x14ac:dyDescent="0.3">
      <c r="A87" s="1">
        <v>513114</v>
      </c>
      <c r="B87" s="1" t="e">
        <f t="shared" ref="B87:B150" si="87">IF(#REF!&lt;500000,"Low Income",
IF(#REF!&lt;=1000000,"Middle Income",
"High Income"))</f>
        <v>#REF!</v>
      </c>
      <c r="C87" s="1" t="s">
        <v>32</v>
      </c>
      <c r="D87" s="1" t="s">
        <v>11</v>
      </c>
      <c r="E87" s="1" t="s">
        <v>24</v>
      </c>
      <c r="F87" s="2">
        <v>37588</v>
      </c>
      <c r="G87" s="1" t="s">
        <v>28</v>
      </c>
      <c r="H87" s="1" t="s">
        <v>108</v>
      </c>
      <c r="I87" s="1" t="str">
        <f t="shared" si="66"/>
        <v>Jun-2024</v>
      </c>
      <c r="J87" s="1">
        <v>2</v>
      </c>
    </row>
    <row r="88" spans="1:10" x14ac:dyDescent="0.3">
      <c r="A88" s="1">
        <v>1070576</v>
      </c>
      <c r="B88" s="1" t="e">
        <f t="shared" ref="B88:B151" si="88">IF(#REF!&lt;500000,"Low Income",
IF(#REF!&lt;=1000000,"Middle Income",
"High Income"))</f>
        <v>#REF!</v>
      </c>
      <c r="C88" s="1" t="s">
        <v>32</v>
      </c>
      <c r="D88" s="1" t="s">
        <v>11</v>
      </c>
      <c r="E88" s="1" t="s">
        <v>16</v>
      </c>
      <c r="F88" s="2">
        <v>23005</v>
      </c>
      <c r="G88" s="1" t="s">
        <v>21</v>
      </c>
      <c r="H88" s="1" t="s">
        <v>109</v>
      </c>
      <c r="I88" s="1" t="str">
        <f t="shared" si="66"/>
        <v>Jan-2024</v>
      </c>
      <c r="J88" s="1">
        <v>4</v>
      </c>
    </row>
    <row r="89" spans="1:10" x14ac:dyDescent="0.3">
      <c r="A89" s="1">
        <v>300449</v>
      </c>
      <c r="B89" s="1" t="e">
        <f t="shared" ref="B89:B152" si="89">IF(#REF!&lt;500000,"Low Income",
IF(#REF!&lt;=1000000,"Middle Income",
"High Income"))</f>
        <v>#REF!</v>
      </c>
      <c r="C89" s="1" t="s">
        <v>39</v>
      </c>
      <c r="D89" s="1" t="s">
        <v>11</v>
      </c>
      <c r="E89" s="1" t="s">
        <v>27</v>
      </c>
      <c r="F89" s="2">
        <v>30921</v>
      </c>
      <c r="G89" s="1" t="s">
        <v>21</v>
      </c>
      <c r="H89" s="1" t="s">
        <v>110</v>
      </c>
      <c r="I89" s="1" t="str">
        <f t="shared" si="66"/>
        <v>Dec-2023</v>
      </c>
      <c r="J89" s="1">
        <v>2</v>
      </c>
    </row>
    <row r="90" spans="1:10" x14ac:dyDescent="0.3">
      <c r="A90" s="1">
        <v>610066</v>
      </c>
      <c r="B90" s="1" t="e">
        <f t="shared" ref="B90:B153" si="90">IF(#REF!&lt;500000,"Low Income",
IF(#REF!&lt;=1000000,"Middle Income",
"High Income"))</f>
        <v>#REF!</v>
      </c>
      <c r="C90" s="1" t="s">
        <v>32</v>
      </c>
      <c r="D90" s="1" t="s">
        <v>11</v>
      </c>
      <c r="E90" s="1" t="s">
        <v>36</v>
      </c>
      <c r="F90" s="2">
        <v>16157</v>
      </c>
      <c r="G90" s="1" t="s">
        <v>17</v>
      </c>
      <c r="H90" s="1" t="s">
        <v>111</v>
      </c>
      <c r="I90" s="1" t="str">
        <f t="shared" si="66"/>
        <v>Jul-2024</v>
      </c>
      <c r="J90" s="1">
        <v>3</v>
      </c>
    </row>
    <row r="91" spans="1:10" x14ac:dyDescent="0.3">
      <c r="A91" s="1">
        <v>1334525</v>
      </c>
      <c r="B91" s="1" t="e">
        <f t="shared" ref="B91:B154" si="91">IF(#REF!&lt;500000,"Low Income",
IF(#REF!&lt;=1000000,"Middle Income",
"High Income"))</f>
        <v>#REF!</v>
      </c>
      <c r="C91" s="1" t="s">
        <v>39</v>
      </c>
      <c r="D91" s="1" t="s">
        <v>30</v>
      </c>
      <c r="E91" s="1" t="s">
        <v>16</v>
      </c>
      <c r="F91" s="2">
        <v>3883</v>
      </c>
      <c r="G91" s="1" t="s">
        <v>17</v>
      </c>
      <c r="H91" s="1" t="s">
        <v>112</v>
      </c>
      <c r="I91" s="1" t="str">
        <f t="shared" si="66"/>
        <v>Dec-2024</v>
      </c>
      <c r="J91" s="1">
        <v>4</v>
      </c>
    </row>
    <row r="92" spans="1:10" x14ac:dyDescent="0.3">
      <c r="A92" s="1">
        <v>664862</v>
      </c>
      <c r="B92" s="1" t="e">
        <f t="shared" ref="B92:B155" si="92">IF(#REF!&lt;500000,"Low Income",
IF(#REF!&lt;=1000000,"Middle Income",
"High Income"))</f>
        <v>#REF!</v>
      </c>
      <c r="C92" s="1" t="s">
        <v>34</v>
      </c>
      <c r="D92" s="1" t="s">
        <v>11</v>
      </c>
      <c r="E92" s="1" t="s">
        <v>24</v>
      </c>
      <c r="F92" s="2">
        <v>1586</v>
      </c>
      <c r="G92" s="1" t="s">
        <v>21</v>
      </c>
      <c r="H92" s="1" t="s">
        <v>113</v>
      </c>
      <c r="I92" s="1" t="str">
        <f t="shared" si="66"/>
        <v>Jun-2024</v>
      </c>
      <c r="J92" s="1">
        <v>3</v>
      </c>
    </row>
    <row r="93" spans="1:10" x14ac:dyDescent="0.3">
      <c r="A93" s="1">
        <v>1053916</v>
      </c>
      <c r="B93" s="1" t="e">
        <f t="shared" ref="B93:B156" si="93">IF(#REF!&lt;500000,"Low Income",
IF(#REF!&lt;=1000000,"Middle Income",
"High Income"))</f>
        <v>#REF!</v>
      </c>
      <c r="C93" s="1" t="s">
        <v>10</v>
      </c>
      <c r="D93" s="1" t="s">
        <v>11</v>
      </c>
      <c r="E93" s="1" t="s">
        <v>46</v>
      </c>
      <c r="F93" s="2">
        <v>6745</v>
      </c>
      <c r="G93" s="1" t="s">
        <v>13</v>
      </c>
      <c r="H93" s="1" t="s">
        <v>114</v>
      </c>
      <c r="I93" s="1" t="str">
        <f t="shared" si="66"/>
        <v>Oct-2024</v>
      </c>
      <c r="J93" s="1">
        <v>5</v>
      </c>
    </row>
    <row r="94" spans="1:10" x14ac:dyDescent="0.3">
      <c r="A94" s="1">
        <v>426472</v>
      </c>
      <c r="B94" s="1" t="e">
        <f t="shared" ref="B94:B157" si="94">IF(#REF!&lt;500000,"Low Income",
IF(#REF!&lt;=1000000,"Middle Income",
"High Income"))</f>
        <v>#REF!</v>
      </c>
      <c r="C94" s="1" t="s">
        <v>15</v>
      </c>
      <c r="D94" s="1" t="s">
        <v>30</v>
      </c>
      <c r="E94" s="1" t="s">
        <v>27</v>
      </c>
      <c r="F94" s="2">
        <v>49973</v>
      </c>
      <c r="G94" s="1" t="s">
        <v>17</v>
      </c>
      <c r="H94" s="1" t="s">
        <v>115</v>
      </c>
      <c r="I94" s="1" t="str">
        <f t="shared" si="66"/>
        <v>May-2023</v>
      </c>
      <c r="J94" s="1">
        <v>3</v>
      </c>
    </row>
    <row r="95" spans="1:10" x14ac:dyDescent="0.3">
      <c r="A95" s="1">
        <v>291227</v>
      </c>
      <c r="B95" s="1" t="e">
        <f t="shared" ref="B95:B158" si="95">IF(#REF!&lt;500000,"Low Income",
IF(#REF!&lt;=1000000,"Middle Income",
"High Income"))</f>
        <v>#REF!</v>
      </c>
      <c r="C95" s="1" t="s">
        <v>15</v>
      </c>
      <c r="D95" s="1" t="s">
        <v>11</v>
      </c>
      <c r="E95" s="1" t="s">
        <v>46</v>
      </c>
      <c r="F95" s="2">
        <v>9659</v>
      </c>
      <c r="G95" s="1" t="s">
        <v>21</v>
      </c>
      <c r="H95" s="1" t="s">
        <v>116</v>
      </c>
      <c r="I95" s="1" t="str">
        <f t="shared" si="66"/>
        <v>Jan-2023</v>
      </c>
      <c r="J95" s="1">
        <v>4</v>
      </c>
    </row>
    <row r="96" spans="1:10" x14ac:dyDescent="0.3">
      <c r="A96" s="1">
        <v>396452</v>
      </c>
      <c r="B96" s="1" t="e">
        <f t="shared" ref="B96:B159" si="96">IF(#REF!&lt;500000,"Low Income",
IF(#REF!&lt;=1000000,"Middle Income",
"High Income"))</f>
        <v>#REF!</v>
      </c>
      <c r="C96" s="1" t="s">
        <v>23</v>
      </c>
      <c r="D96" s="1" t="s">
        <v>30</v>
      </c>
      <c r="E96" s="1" t="s">
        <v>24</v>
      </c>
      <c r="F96" s="2">
        <v>21326</v>
      </c>
      <c r="G96" s="1" t="s">
        <v>21</v>
      </c>
      <c r="H96" s="1" t="s">
        <v>117</v>
      </c>
      <c r="I96" s="1" t="str">
        <f t="shared" si="66"/>
        <v>Jan-2023</v>
      </c>
      <c r="J96" s="1">
        <v>2</v>
      </c>
    </row>
    <row r="97" spans="1:10" x14ac:dyDescent="0.3">
      <c r="A97" s="1">
        <v>1050160</v>
      </c>
      <c r="B97" s="1" t="e">
        <f t="shared" ref="B97:B160" si="97">IF(#REF!&lt;500000,"Low Income",
IF(#REF!&lt;=1000000,"Middle Income",
"High Income"))</f>
        <v>#REF!</v>
      </c>
      <c r="C97" s="1" t="s">
        <v>23</v>
      </c>
      <c r="D97" s="1" t="s">
        <v>11</v>
      </c>
      <c r="E97" s="1" t="s">
        <v>36</v>
      </c>
      <c r="F97" s="2">
        <v>33326</v>
      </c>
      <c r="G97" s="1" t="s">
        <v>13</v>
      </c>
      <c r="H97" s="1" t="s">
        <v>118</v>
      </c>
      <c r="I97" s="1" t="str">
        <f t="shared" si="66"/>
        <v>Feb-2023</v>
      </c>
      <c r="J97" s="1">
        <v>3</v>
      </c>
    </row>
    <row r="98" spans="1:10" x14ac:dyDescent="0.3">
      <c r="A98" s="1">
        <v>462403</v>
      </c>
      <c r="B98" s="1" t="e">
        <f t="shared" ref="B98:B161" si="98">IF(#REF!&lt;500000,"Low Income",
IF(#REF!&lt;=1000000,"Middle Income",
"High Income"))</f>
        <v>#REF!</v>
      </c>
      <c r="C98" s="1" t="s">
        <v>19</v>
      </c>
      <c r="D98" s="1" t="s">
        <v>30</v>
      </c>
      <c r="E98" s="1" t="s">
        <v>12</v>
      </c>
      <c r="F98" s="2">
        <v>9984</v>
      </c>
      <c r="G98" s="1" t="s">
        <v>17</v>
      </c>
      <c r="H98" s="1" t="s">
        <v>115</v>
      </c>
      <c r="I98" s="1" t="str">
        <f t="shared" si="66"/>
        <v>May-2023</v>
      </c>
      <c r="J98" s="1">
        <v>5</v>
      </c>
    </row>
    <row r="99" spans="1:10" x14ac:dyDescent="0.3">
      <c r="A99" s="1">
        <v>892549</v>
      </c>
      <c r="B99" s="1" t="e">
        <f t="shared" ref="B99:B162" si="99">IF(#REF!&lt;500000,"Low Income",
IF(#REF!&lt;=1000000,"Middle Income",
"High Income"))</f>
        <v>#REF!</v>
      </c>
      <c r="C99" s="1" t="s">
        <v>19</v>
      </c>
      <c r="D99" s="1" t="s">
        <v>11</v>
      </c>
      <c r="E99" s="1" t="s">
        <v>24</v>
      </c>
      <c r="F99" s="2">
        <v>10478</v>
      </c>
      <c r="G99" s="1" t="s">
        <v>17</v>
      </c>
      <c r="H99" s="1" t="s">
        <v>63</v>
      </c>
      <c r="I99" s="1" t="str">
        <f t="shared" si="66"/>
        <v>Apr-2023</v>
      </c>
      <c r="J99" s="1">
        <v>3</v>
      </c>
    </row>
    <row r="100" spans="1:10" x14ac:dyDescent="0.3">
      <c r="A100" s="1">
        <v>852922</v>
      </c>
      <c r="B100" s="1" t="e">
        <f t="shared" ref="B100:B163" si="100">IF(#REF!&lt;500000,"Low Income",
IF(#REF!&lt;=1000000,"Middle Income",
"High Income"))</f>
        <v>#REF!</v>
      </c>
      <c r="C100" s="1" t="s">
        <v>15</v>
      </c>
      <c r="D100" s="1" t="s">
        <v>11</v>
      </c>
      <c r="E100" s="1" t="s">
        <v>12</v>
      </c>
      <c r="F100" s="2">
        <v>8201</v>
      </c>
      <c r="G100" s="1" t="s">
        <v>28</v>
      </c>
      <c r="H100" s="1" t="s">
        <v>119</v>
      </c>
      <c r="I100" s="1" t="str">
        <f t="shared" si="66"/>
        <v>Nov-2023</v>
      </c>
      <c r="J100" s="1">
        <v>4</v>
      </c>
    </row>
    <row r="101" spans="1:10" x14ac:dyDescent="0.3">
      <c r="A101" s="1">
        <v>1240607</v>
      </c>
      <c r="B101" s="1" t="e">
        <f t="shared" ref="B101:B164" si="101">IF(#REF!&lt;500000,"Low Income",
IF(#REF!&lt;=1000000,"Middle Income",
"High Income"))</f>
        <v>#REF!</v>
      </c>
      <c r="C101" s="1" t="s">
        <v>32</v>
      </c>
      <c r="D101" s="1" t="s">
        <v>30</v>
      </c>
      <c r="E101" s="1" t="s">
        <v>27</v>
      </c>
      <c r="F101" s="2">
        <v>42917</v>
      </c>
      <c r="G101" s="1" t="s">
        <v>21</v>
      </c>
      <c r="H101" s="1" t="s">
        <v>120</v>
      </c>
      <c r="I101" s="1" t="str">
        <f t="shared" si="66"/>
        <v>Jan-2023</v>
      </c>
      <c r="J101" s="1">
        <v>4</v>
      </c>
    </row>
    <row r="102" spans="1:10" x14ac:dyDescent="0.3">
      <c r="A102" s="1">
        <v>1283275</v>
      </c>
      <c r="B102" s="1" t="e">
        <f t="shared" ref="B102:B165" si="102">IF(#REF!&lt;500000,"Low Income",
IF(#REF!&lt;=1000000,"Middle Income",
"High Income"))</f>
        <v>#REF!</v>
      </c>
      <c r="C102" s="1" t="s">
        <v>19</v>
      </c>
      <c r="D102" s="1" t="s">
        <v>11</v>
      </c>
      <c r="E102" s="1" t="s">
        <v>46</v>
      </c>
      <c r="F102" s="2">
        <v>9569</v>
      </c>
      <c r="G102" s="1" t="s">
        <v>17</v>
      </c>
      <c r="H102" s="1" t="s">
        <v>121</v>
      </c>
      <c r="I102" s="1" t="str">
        <f t="shared" si="66"/>
        <v>Mar-2023</v>
      </c>
      <c r="J102" s="1">
        <v>3</v>
      </c>
    </row>
    <row r="103" spans="1:10" x14ac:dyDescent="0.3">
      <c r="A103" s="1">
        <v>1224975</v>
      </c>
      <c r="B103" s="1" t="e">
        <f t="shared" ref="B103:B166" si="103">IF(#REF!&lt;500000,"Low Income",
IF(#REF!&lt;=1000000,"Middle Income",
"High Income"))</f>
        <v>#REF!</v>
      </c>
      <c r="C103" s="1" t="s">
        <v>15</v>
      </c>
      <c r="D103" s="1" t="s">
        <v>30</v>
      </c>
      <c r="E103" s="1" t="s">
        <v>24</v>
      </c>
      <c r="F103" s="2">
        <v>9875</v>
      </c>
      <c r="G103" s="1" t="s">
        <v>13</v>
      </c>
      <c r="H103" s="1" t="s">
        <v>37</v>
      </c>
      <c r="I103" s="1" t="str">
        <f t="shared" si="66"/>
        <v>Sep-2024</v>
      </c>
      <c r="J103" s="1">
        <v>2</v>
      </c>
    </row>
    <row r="104" spans="1:10" x14ac:dyDescent="0.3">
      <c r="A104" s="1">
        <v>328064</v>
      </c>
      <c r="B104" s="1" t="e">
        <f t="shared" ref="B104:B167" si="104">IF(#REF!&lt;500000,"Low Income",
IF(#REF!&lt;=1000000,"Middle Income",
"High Income"))</f>
        <v>#REF!</v>
      </c>
      <c r="C104" s="1" t="s">
        <v>19</v>
      </c>
      <c r="D104" s="1" t="s">
        <v>11</v>
      </c>
      <c r="E104" s="1" t="s">
        <v>20</v>
      </c>
      <c r="F104" s="2">
        <v>2458</v>
      </c>
      <c r="G104" s="1" t="s">
        <v>28</v>
      </c>
      <c r="H104" s="1" t="s">
        <v>122</v>
      </c>
      <c r="I104" s="1" t="str">
        <f t="shared" si="66"/>
        <v>May-2023</v>
      </c>
      <c r="J104" s="1">
        <v>3</v>
      </c>
    </row>
    <row r="105" spans="1:10" x14ac:dyDescent="0.3">
      <c r="A105" s="1">
        <v>829330</v>
      </c>
      <c r="B105" s="1" t="e">
        <f t="shared" ref="B105:B168" si="105">IF(#REF!&lt;500000,"Low Income",
IF(#REF!&lt;=1000000,"Middle Income",
"High Income"))</f>
        <v>#REF!</v>
      </c>
      <c r="C105" s="1" t="s">
        <v>23</v>
      </c>
      <c r="D105" s="1" t="s">
        <v>11</v>
      </c>
      <c r="E105" s="1" t="s">
        <v>20</v>
      </c>
      <c r="F105" s="2">
        <v>30213</v>
      </c>
      <c r="G105" s="1" t="s">
        <v>17</v>
      </c>
      <c r="H105" s="1" t="s">
        <v>123</v>
      </c>
      <c r="I105" s="1" t="str">
        <f t="shared" si="66"/>
        <v>Nov-2023</v>
      </c>
      <c r="J105" s="1">
        <v>2</v>
      </c>
    </row>
    <row r="106" spans="1:10" x14ac:dyDescent="0.3">
      <c r="A106" s="1">
        <v>844042</v>
      </c>
      <c r="B106" s="1" t="e">
        <f t="shared" ref="B106:B169" si="106">IF(#REF!&lt;500000,"Low Income",
IF(#REF!&lt;=1000000,"Middle Income",
"High Income"))</f>
        <v>#REF!</v>
      </c>
      <c r="C106" s="1" t="s">
        <v>10</v>
      </c>
      <c r="D106" s="1" t="s">
        <v>11</v>
      </c>
      <c r="E106" s="1" t="s">
        <v>16</v>
      </c>
      <c r="F106" s="2">
        <v>5942</v>
      </c>
      <c r="G106" s="1" t="s">
        <v>28</v>
      </c>
      <c r="H106" s="1" t="s">
        <v>124</v>
      </c>
      <c r="I106" s="1" t="str">
        <f t="shared" si="66"/>
        <v>May-2024</v>
      </c>
      <c r="J106" s="1">
        <v>3</v>
      </c>
    </row>
    <row r="107" spans="1:10" x14ac:dyDescent="0.3">
      <c r="A107" s="1">
        <v>734920</v>
      </c>
      <c r="B107" s="1" t="e">
        <f t="shared" ref="B107:B170" si="107">IF(#REF!&lt;500000,"Low Income",
IF(#REF!&lt;=1000000,"Middle Income",
"High Income"))</f>
        <v>#REF!</v>
      </c>
      <c r="C107" s="1" t="s">
        <v>39</v>
      </c>
      <c r="D107" s="1" t="s">
        <v>11</v>
      </c>
      <c r="E107" s="1" t="s">
        <v>36</v>
      </c>
      <c r="F107" s="2">
        <v>12618</v>
      </c>
      <c r="G107" s="1" t="s">
        <v>17</v>
      </c>
      <c r="H107" s="1" t="s">
        <v>125</v>
      </c>
      <c r="I107" s="1" t="str">
        <f t="shared" si="66"/>
        <v>Jun-2024</v>
      </c>
      <c r="J107" s="1">
        <v>2</v>
      </c>
    </row>
    <row r="108" spans="1:10" x14ac:dyDescent="0.3">
      <c r="A108" s="1">
        <v>821104</v>
      </c>
      <c r="B108" s="1" t="e">
        <f t="shared" ref="B108:B171" si="108">IF(#REF!&lt;500000,"Low Income",
IF(#REF!&lt;=1000000,"Middle Income",
"High Income"))</f>
        <v>#REF!</v>
      </c>
      <c r="C108" s="1" t="s">
        <v>15</v>
      </c>
      <c r="D108" s="1" t="s">
        <v>30</v>
      </c>
      <c r="E108" s="1" t="s">
        <v>27</v>
      </c>
      <c r="F108" s="2">
        <v>21732</v>
      </c>
      <c r="G108" s="1" t="s">
        <v>21</v>
      </c>
      <c r="H108" s="1" t="s">
        <v>126</v>
      </c>
      <c r="I108" s="1" t="str">
        <f t="shared" si="66"/>
        <v>Nov-2024</v>
      </c>
      <c r="J108" s="1">
        <v>2</v>
      </c>
    </row>
    <row r="109" spans="1:10" x14ac:dyDescent="0.3">
      <c r="A109" s="1">
        <v>1111255</v>
      </c>
      <c r="B109" s="1" t="e">
        <f t="shared" ref="B109:B172" si="109">IF(#REF!&lt;500000,"Low Income",
IF(#REF!&lt;=1000000,"Middle Income",
"High Income"))</f>
        <v>#REF!</v>
      </c>
      <c r="C109" s="1" t="s">
        <v>10</v>
      </c>
      <c r="D109" s="1" t="s">
        <v>11</v>
      </c>
      <c r="E109" s="1" t="s">
        <v>20</v>
      </c>
      <c r="F109" s="2">
        <v>33318</v>
      </c>
      <c r="G109" s="1" t="s">
        <v>13</v>
      </c>
      <c r="H109" s="1" t="s">
        <v>127</v>
      </c>
      <c r="I109" s="1" t="str">
        <f t="shared" si="66"/>
        <v>Jan-2023</v>
      </c>
      <c r="J109" s="1">
        <v>2</v>
      </c>
    </row>
    <row r="110" spans="1:10" x14ac:dyDescent="0.3">
      <c r="A110" s="1">
        <v>993273</v>
      </c>
      <c r="B110" s="1" t="e">
        <f t="shared" ref="B110:B173" si="110">IF(#REF!&lt;500000,"Low Income",
IF(#REF!&lt;=1000000,"Middle Income",
"High Income"))</f>
        <v>#REF!</v>
      </c>
      <c r="C110" s="1" t="s">
        <v>34</v>
      </c>
      <c r="D110" s="1" t="s">
        <v>30</v>
      </c>
      <c r="E110" s="1" t="s">
        <v>20</v>
      </c>
      <c r="F110" s="2">
        <v>17750</v>
      </c>
      <c r="G110" s="1" t="s">
        <v>13</v>
      </c>
      <c r="H110" s="1" t="s">
        <v>128</v>
      </c>
      <c r="I110" s="1" t="str">
        <f t="shared" si="66"/>
        <v>Jul-2024</v>
      </c>
      <c r="J110" s="1">
        <v>4</v>
      </c>
    </row>
    <row r="111" spans="1:10" x14ac:dyDescent="0.3">
      <c r="A111" s="1">
        <v>326116</v>
      </c>
      <c r="B111" s="1" t="e">
        <f t="shared" ref="B111:B174" si="111">IF(#REF!&lt;500000,"Low Income",
IF(#REF!&lt;=1000000,"Middle Income",
"High Income"))</f>
        <v>#REF!</v>
      </c>
      <c r="C111" s="1" t="s">
        <v>19</v>
      </c>
      <c r="D111" s="1" t="s">
        <v>30</v>
      </c>
      <c r="E111" s="1" t="s">
        <v>24</v>
      </c>
      <c r="F111" s="2">
        <v>25524</v>
      </c>
      <c r="G111" s="1" t="s">
        <v>21</v>
      </c>
      <c r="H111" s="1" t="s">
        <v>129</v>
      </c>
      <c r="I111" s="1" t="str">
        <f t="shared" si="66"/>
        <v>Nov-2024</v>
      </c>
      <c r="J111" s="1">
        <v>2</v>
      </c>
    </row>
    <row r="112" spans="1:10" x14ac:dyDescent="0.3">
      <c r="A112" s="1">
        <v>1291933</v>
      </c>
      <c r="B112" s="1" t="e">
        <f t="shared" ref="B112:B175" si="112">IF(#REF!&lt;500000,"Low Income",
IF(#REF!&lt;=1000000,"Middle Income",
"High Income"))</f>
        <v>#REF!</v>
      </c>
      <c r="C112" s="1" t="s">
        <v>10</v>
      </c>
      <c r="D112" s="1" t="s">
        <v>11</v>
      </c>
      <c r="E112" s="1" t="s">
        <v>46</v>
      </c>
      <c r="F112" s="2">
        <v>26971</v>
      </c>
      <c r="G112" s="1" t="s">
        <v>17</v>
      </c>
      <c r="H112" s="1" t="s">
        <v>130</v>
      </c>
      <c r="I112" s="1" t="str">
        <f t="shared" si="66"/>
        <v>Oct-2023</v>
      </c>
      <c r="J112" s="1">
        <v>2</v>
      </c>
    </row>
    <row r="113" spans="1:10" x14ac:dyDescent="0.3">
      <c r="A113" s="1">
        <v>991683</v>
      </c>
      <c r="B113" s="1" t="e">
        <f t="shared" ref="B113:B176" si="113">IF(#REF!&lt;500000,"Low Income",
IF(#REF!&lt;=1000000,"Middle Income",
"High Income"))</f>
        <v>#REF!</v>
      </c>
      <c r="C113" s="1" t="s">
        <v>32</v>
      </c>
      <c r="D113" s="1" t="s">
        <v>11</v>
      </c>
      <c r="E113" s="1" t="s">
        <v>20</v>
      </c>
      <c r="F113" s="2">
        <v>2578</v>
      </c>
      <c r="G113" s="1" t="s">
        <v>28</v>
      </c>
      <c r="H113" s="1" t="s">
        <v>131</v>
      </c>
      <c r="I113" s="1" t="str">
        <f t="shared" si="66"/>
        <v>Dec-2023</v>
      </c>
      <c r="J113" s="1">
        <v>4</v>
      </c>
    </row>
    <row r="114" spans="1:10" x14ac:dyDescent="0.3">
      <c r="A114" s="1">
        <v>976060</v>
      </c>
      <c r="B114" s="1" t="e">
        <f t="shared" ref="B114:B177" si="114">IF(#REF!&lt;500000,"Low Income",
IF(#REF!&lt;=1000000,"Middle Income",
"High Income"))</f>
        <v>#REF!</v>
      </c>
      <c r="C114" s="1" t="s">
        <v>19</v>
      </c>
      <c r="D114" s="1" t="s">
        <v>11</v>
      </c>
      <c r="E114" s="1" t="s">
        <v>20</v>
      </c>
      <c r="F114" s="2">
        <v>43844</v>
      </c>
      <c r="G114" s="1" t="s">
        <v>13</v>
      </c>
      <c r="H114" s="1" t="s">
        <v>132</v>
      </c>
      <c r="I114" s="1" t="str">
        <f t="shared" si="66"/>
        <v>Oct-2024</v>
      </c>
      <c r="J114" s="1">
        <v>3</v>
      </c>
    </row>
    <row r="115" spans="1:10" x14ac:dyDescent="0.3">
      <c r="A115" s="1">
        <v>686686</v>
      </c>
      <c r="B115" s="1" t="e">
        <f t="shared" ref="B115:B178" si="115">IF(#REF!&lt;500000,"Low Income",
IF(#REF!&lt;=1000000,"Middle Income",
"High Income"))</f>
        <v>#REF!</v>
      </c>
      <c r="C115" s="1" t="s">
        <v>32</v>
      </c>
      <c r="D115" s="1" t="s">
        <v>11</v>
      </c>
      <c r="E115" s="1" t="s">
        <v>16</v>
      </c>
      <c r="F115" s="2">
        <v>18527</v>
      </c>
      <c r="G115" s="1" t="s">
        <v>21</v>
      </c>
      <c r="H115" s="1" t="s">
        <v>133</v>
      </c>
      <c r="I115" s="1" t="str">
        <f t="shared" si="66"/>
        <v>Sep-2024</v>
      </c>
      <c r="J115" s="1">
        <v>2</v>
      </c>
    </row>
    <row r="116" spans="1:10" x14ac:dyDescent="0.3">
      <c r="A116" s="1">
        <v>1254285</v>
      </c>
      <c r="B116" s="1" t="e">
        <f t="shared" ref="B116:B179" si="116">IF(#REF!&lt;500000,"Low Income",
IF(#REF!&lt;=1000000,"Middle Income",
"High Income"))</f>
        <v>#REF!</v>
      </c>
      <c r="C116" s="1" t="s">
        <v>34</v>
      </c>
      <c r="D116" s="1" t="s">
        <v>11</v>
      </c>
      <c r="E116" s="1" t="s">
        <v>24</v>
      </c>
      <c r="F116" s="2">
        <v>23817</v>
      </c>
      <c r="G116" s="1" t="s">
        <v>17</v>
      </c>
      <c r="H116" s="1" t="s">
        <v>134</v>
      </c>
      <c r="I116" s="1" t="str">
        <f t="shared" si="66"/>
        <v>Sep-2023</v>
      </c>
      <c r="J116" s="1">
        <v>4</v>
      </c>
    </row>
    <row r="117" spans="1:10" x14ac:dyDescent="0.3">
      <c r="A117" s="1">
        <v>571755</v>
      </c>
      <c r="B117" s="1" t="e">
        <f t="shared" ref="B117:B180" si="117">IF(#REF!&lt;500000,"Low Income",
IF(#REF!&lt;=1000000,"Middle Income",
"High Income"))</f>
        <v>#REF!</v>
      </c>
      <c r="C117" s="1" t="s">
        <v>19</v>
      </c>
      <c r="D117" s="1" t="s">
        <v>30</v>
      </c>
      <c r="E117" s="1" t="s">
        <v>36</v>
      </c>
      <c r="F117" s="2">
        <v>12257</v>
      </c>
      <c r="G117" s="1" t="s">
        <v>17</v>
      </c>
      <c r="H117" s="1" t="s">
        <v>84</v>
      </c>
      <c r="I117" s="1" t="str">
        <f t="shared" si="66"/>
        <v>Jul-2023</v>
      </c>
      <c r="J117" s="1">
        <v>3</v>
      </c>
    </row>
    <row r="118" spans="1:10" x14ac:dyDescent="0.3">
      <c r="A118" s="1">
        <v>982510</v>
      </c>
      <c r="B118" s="1" t="e">
        <f t="shared" ref="B118:B181" si="118">IF(#REF!&lt;500000,"Low Income",
IF(#REF!&lt;=1000000,"Middle Income",
"High Income"))</f>
        <v>#REF!</v>
      </c>
      <c r="C118" s="1" t="s">
        <v>23</v>
      </c>
      <c r="D118" s="1" t="s">
        <v>30</v>
      </c>
      <c r="E118" s="1" t="s">
        <v>20</v>
      </c>
      <c r="F118" s="2">
        <v>39539</v>
      </c>
      <c r="G118" s="1" t="s">
        <v>17</v>
      </c>
      <c r="H118" s="1" t="s">
        <v>135</v>
      </c>
      <c r="I118" s="1" t="str">
        <f t="shared" si="66"/>
        <v>Apr-2024</v>
      </c>
      <c r="J118" s="1">
        <v>3</v>
      </c>
    </row>
    <row r="119" spans="1:10" x14ac:dyDescent="0.3">
      <c r="A119" s="1">
        <v>664264</v>
      </c>
      <c r="B119" s="1" t="e">
        <f t="shared" ref="B119:B182" si="119">IF(#REF!&lt;500000,"Low Income",
IF(#REF!&lt;=1000000,"Middle Income",
"High Income"))</f>
        <v>#REF!</v>
      </c>
      <c r="C119" s="1" t="s">
        <v>34</v>
      </c>
      <c r="D119" s="1" t="s">
        <v>30</v>
      </c>
      <c r="E119" s="1" t="s">
        <v>16</v>
      </c>
      <c r="F119" s="2">
        <v>34187</v>
      </c>
      <c r="G119" s="1" t="s">
        <v>17</v>
      </c>
      <c r="H119" s="1" t="s">
        <v>106</v>
      </c>
      <c r="I119" s="1" t="str">
        <f t="shared" si="66"/>
        <v>Jun-2024</v>
      </c>
      <c r="J119" s="1">
        <v>4</v>
      </c>
    </row>
    <row r="120" spans="1:10" x14ac:dyDescent="0.3">
      <c r="A120" s="1">
        <v>1001378</v>
      </c>
      <c r="B120" s="1" t="e">
        <f t="shared" ref="B120:B183" si="120">IF(#REF!&lt;500000,"Low Income",
IF(#REF!&lt;=1000000,"Middle Income",
"High Income"))</f>
        <v>#REF!</v>
      </c>
      <c r="C120" s="1" t="s">
        <v>19</v>
      </c>
      <c r="D120" s="1" t="s">
        <v>30</v>
      </c>
      <c r="E120" s="1" t="s">
        <v>27</v>
      </c>
      <c r="F120" s="2">
        <v>28242</v>
      </c>
      <c r="G120" s="1" t="s">
        <v>21</v>
      </c>
      <c r="H120" s="1" t="s">
        <v>136</v>
      </c>
      <c r="I120" s="1" t="str">
        <f t="shared" si="66"/>
        <v>Mar-2024</v>
      </c>
      <c r="J120" s="1">
        <v>3</v>
      </c>
    </row>
    <row r="121" spans="1:10" x14ac:dyDescent="0.3">
      <c r="A121" s="1">
        <v>1062213</v>
      </c>
      <c r="B121" s="1" t="e">
        <f t="shared" ref="B121:B184" si="121">IF(#REF!&lt;500000,"Low Income",
IF(#REF!&lt;=1000000,"Middle Income",
"High Income"))</f>
        <v>#REF!</v>
      </c>
      <c r="C121" s="1" t="s">
        <v>19</v>
      </c>
      <c r="D121" s="1" t="s">
        <v>30</v>
      </c>
      <c r="E121" s="1" t="s">
        <v>16</v>
      </c>
      <c r="F121" s="2">
        <v>17822</v>
      </c>
      <c r="G121" s="1" t="s">
        <v>21</v>
      </c>
      <c r="H121" s="1" t="s">
        <v>137</v>
      </c>
      <c r="I121" s="1" t="str">
        <f t="shared" si="66"/>
        <v>Mar-2023</v>
      </c>
      <c r="J121" s="1">
        <v>5</v>
      </c>
    </row>
    <row r="122" spans="1:10" x14ac:dyDescent="0.3">
      <c r="A122" s="1">
        <v>963323</v>
      </c>
      <c r="B122" s="1" t="e">
        <f t="shared" ref="B122:B185" si="122">IF(#REF!&lt;500000,"Low Income",
IF(#REF!&lt;=1000000,"Middle Income",
"High Income"))</f>
        <v>#REF!</v>
      </c>
      <c r="C122" s="1" t="s">
        <v>19</v>
      </c>
      <c r="D122" s="1" t="s">
        <v>11</v>
      </c>
      <c r="E122" s="1" t="s">
        <v>24</v>
      </c>
      <c r="F122" s="2">
        <v>3657</v>
      </c>
      <c r="G122" s="1" t="s">
        <v>21</v>
      </c>
      <c r="H122" s="1" t="s">
        <v>67</v>
      </c>
      <c r="I122" s="1" t="str">
        <f t="shared" si="66"/>
        <v>Apr-2023</v>
      </c>
      <c r="J122" s="1">
        <v>5</v>
      </c>
    </row>
    <row r="123" spans="1:10" x14ac:dyDescent="0.3">
      <c r="A123" s="1">
        <v>768154</v>
      </c>
      <c r="B123" s="1" t="e">
        <f t="shared" ref="B123:B186" si="123">IF(#REF!&lt;500000,"Low Income",
IF(#REF!&lt;=1000000,"Middle Income",
"High Income"))</f>
        <v>#REF!</v>
      </c>
      <c r="C123" s="1" t="s">
        <v>23</v>
      </c>
      <c r="D123" s="1" t="s">
        <v>30</v>
      </c>
      <c r="E123" s="1" t="s">
        <v>46</v>
      </c>
      <c r="F123" s="2">
        <v>14495</v>
      </c>
      <c r="G123" s="1" t="s">
        <v>13</v>
      </c>
      <c r="H123" s="1" t="s">
        <v>138</v>
      </c>
      <c r="I123" s="1" t="str">
        <f t="shared" si="66"/>
        <v>Apr-2023</v>
      </c>
      <c r="J123" s="1">
        <v>5</v>
      </c>
    </row>
    <row r="124" spans="1:10" x14ac:dyDescent="0.3">
      <c r="A124" s="1">
        <v>844135</v>
      </c>
      <c r="B124" s="1" t="e">
        <f t="shared" ref="B124:B187" si="124">IF(#REF!&lt;500000,"Low Income",
IF(#REF!&lt;=1000000,"Middle Income",
"High Income"))</f>
        <v>#REF!</v>
      </c>
      <c r="C124" s="1" t="s">
        <v>19</v>
      </c>
      <c r="D124" s="1" t="s">
        <v>11</v>
      </c>
      <c r="E124" s="1" t="s">
        <v>36</v>
      </c>
      <c r="F124" s="2">
        <v>25289</v>
      </c>
      <c r="G124" s="1" t="s">
        <v>13</v>
      </c>
      <c r="H124" s="1" t="s">
        <v>92</v>
      </c>
      <c r="I124" s="1" t="str">
        <f t="shared" si="66"/>
        <v>Feb-2024</v>
      </c>
      <c r="J124" s="1">
        <v>5</v>
      </c>
    </row>
    <row r="125" spans="1:10" x14ac:dyDescent="0.3">
      <c r="A125" s="1">
        <v>577032</v>
      </c>
      <c r="B125" s="1" t="e">
        <f t="shared" ref="B125:B188" si="125">IF(#REF!&lt;500000,"Low Income",
IF(#REF!&lt;=1000000,"Middle Income",
"High Income"))</f>
        <v>#REF!</v>
      </c>
      <c r="C125" s="1" t="s">
        <v>32</v>
      </c>
      <c r="D125" s="1" t="s">
        <v>30</v>
      </c>
      <c r="E125" s="1" t="s">
        <v>24</v>
      </c>
      <c r="F125" s="2">
        <v>13367</v>
      </c>
      <c r="G125" s="1" t="s">
        <v>21</v>
      </c>
      <c r="H125" s="1" t="s">
        <v>139</v>
      </c>
      <c r="I125" s="1" t="str">
        <f t="shared" si="66"/>
        <v>May-2024</v>
      </c>
      <c r="J125" s="1">
        <v>3</v>
      </c>
    </row>
    <row r="126" spans="1:10" x14ac:dyDescent="0.3">
      <c r="A126" s="1">
        <v>953720</v>
      </c>
      <c r="B126" s="1" t="e">
        <f t="shared" ref="B126:B189" si="126">IF(#REF!&lt;500000,"Low Income",
IF(#REF!&lt;=1000000,"Middle Income",
"High Income"))</f>
        <v>#REF!</v>
      </c>
      <c r="C126" s="1" t="s">
        <v>32</v>
      </c>
      <c r="D126" s="1" t="s">
        <v>11</v>
      </c>
      <c r="E126" s="1" t="s">
        <v>46</v>
      </c>
      <c r="F126" s="2">
        <v>3036</v>
      </c>
      <c r="G126" s="1" t="s">
        <v>28</v>
      </c>
      <c r="H126" s="1" t="s">
        <v>140</v>
      </c>
      <c r="I126" s="1" t="str">
        <f t="shared" si="66"/>
        <v>Jan-2024</v>
      </c>
      <c r="J126" s="1">
        <v>2</v>
      </c>
    </row>
    <row r="127" spans="1:10" x14ac:dyDescent="0.3">
      <c r="A127" s="1">
        <v>700576</v>
      </c>
      <c r="B127" s="1" t="e">
        <f t="shared" ref="B127:B190" si="127">IF(#REF!&lt;500000,"Low Income",
IF(#REF!&lt;=1000000,"Middle Income",
"High Income"))</f>
        <v>#REF!</v>
      </c>
      <c r="C127" s="1" t="s">
        <v>10</v>
      </c>
      <c r="D127" s="1" t="s">
        <v>30</v>
      </c>
      <c r="E127" s="1" t="s">
        <v>12</v>
      </c>
      <c r="F127" s="2">
        <v>42100</v>
      </c>
      <c r="G127" s="1" t="s">
        <v>21</v>
      </c>
      <c r="H127" s="1" t="s">
        <v>141</v>
      </c>
      <c r="I127" s="1" t="str">
        <f t="shared" si="66"/>
        <v>Dec-2024</v>
      </c>
      <c r="J127" s="1">
        <v>4</v>
      </c>
    </row>
    <row r="128" spans="1:10" x14ac:dyDescent="0.3">
      <c r="A128" s="1">
        <v>1446501</v>
      </c>
      <c r="B128" s="1" t="e">
        <f t="shared" ref="B128:B191" si="128">IF(#REF!&lt;500000,"Low Income",
IF(#REF!&lt;=1000000,"Middle Income",
"High Income"))</f>
        <v>#REF!</v>
      </c>
      <c r="C128" s="1" t="s">
        <v>15</v>
      </c>
      <c r="D128" s="1" t="s">
        <v>11</v>
      </c>
      <c r="E128" s="1" t="s">
        <v>36</v>
      </c>
      <c r="F128" s="2">
        <v>43922</v>
      </c>
      <c r="G128" s="1" t="s">
        <v>28</v>
      </c>
      <c r="H128" s="1" t="s">
        <v>142</v>
      </c>
      <c r="I128" s="1" t="str">
        <f t="shared" si="66"/>
        <v>Mar-2023</v>
      </c>
      <c r="J128" s="1">
        <v>4</v>
      </c>
    </row>
    <row r="129" spans="1:10" x14ac:dyDescent="0.3">
      <c r="A129" s="1">
        <v>1091986</v>
      </c>
      <c r="B129" s="1" t="e">
        <f t="shared" ref="B129:B192" si="129">IF(#REF!&lt;500000,"Low Income",
IF(#REF!&lt;=1000000,"Middle Income",
"High Income"))</f>
        <v>#REF!</v>
      </c>
      <c r="C129" s="1" t="s">
        <v>10</v>
      </c>
      <c r="D129" s="1" t="s">
        <v>11</v>
      </c>
      <c r="E129" s="1" t="s">
        <v>36</v>
      </c>
      <c r="F129" s="2">
        <v>38907</v>
      </c>
      <c r="G129" s="1" t="s">
        <v>21</v>
      </c>
      <c r="H129" s="1" t="s">
        <v>143</v>
      </c>
      <c r="I129" s="1" t="str">
        <f t="shared" si="66"/>
        <v>Jun-2023</v>
      </c>
      <c r="J129" s="1">
        <v>5</v>
      </c>
    </row>
    <row r="130" spans="1:10" x14ac:dyDescent="0.3">
      <c r="A130" s="1">
        <v>574739</v>
      </c>
      <c r="B130" s="1" t="e">
        <f t="shared" ref="B130:B193" si="130">IF(#REF!&lt;500000,"Low Income",
IF(#REF!&lt;=1000000,"Middle Income",
"High Income"))</f>
        <v>#REF!</v>
      </c>
      <c r="C130" s="1" t="s">
        <v>10</v>
      </c>
      <c r="D130" s="1" t="s">
        <v>30</v>
      </c>
      <c r="E130" s="1" t="s">
        <v>16</v>
      </c>
      <c r="F130" s="2">
        <v>47755</v>
      </c>
      <c r="G130" s="1" t="s">
        <v>21</v>
      </c>
      <c r="H130" s="1" t="s">
        <v>144</v>
      </c>
      <c r="I130" s="1" t="str">
        <f t="shared" ref="I130:I193" si="131">TEXT(H130,"mmm-yyy")</f>
        <v>Jul-2024</v>
      </c>
      <c r="J130" s="1">
        <v>2</v>
      </c>
    </row>
    <row r="131" spans="1:10" x14ac:dyDescent="0.3">
      <c r="A131" s="1">
        <v>1498794</v>
      </c>
      <c r="B131" s="1" t="e">
        <f t="shared" ref="B131:B194" si="132">IF(#REF!&lt;500000,"Low Income",
IF(#REF!&lt;=1000000,"Middle Income",
"High Income"))</f>
        <v>#REF!</v>
      </c>
      <c r="C131" s="1" t="s">
        <v>34</v>
      </c>
      <c r="D131" s="1" t="s">
        <v>30</v>
      </c>
      <c r="E131" s="1" t="s">
        <v>12</v>
      </c>
      <c r="F131" s="2">
        <v>48592</v>
      </c>
      <c r="G131" s="1" t="s">
        <v>17</v>
      </c>
      <c r="H131" s="1" t="s">
        <v>145</v>
      </c>
      <c r="I131" s="1" t="str">
        <f t="shared" si="131"/>
        <v>Feb-2023</v>
      </c>
      <c r="J131" s="1">
        <v>3</v>
      </c>
    </row>
    <row r="132" spans="1:10" x14ac:dyDescent="0.3">
      <c r="A132" s="1">
        <v>598716</v>
      </c>
      <c r="B132" s="1" t="e">
        <f t="shared" ref="B132:B195" si="133">IF(#REF!&lt;500000,"Low Income",
IF(#REF!&lt;=1000000,"Middle Income",
"High Income"))</f>
        <v>#REF!</v>
      </c>
      <c r="C132" s="1" t="s">
        <v>32</v>
      </c>
      <c r="D132" s="1" t="s">
        <v>11</v>
      </c>
      <c r="E132" s="1" t="s">
        <v>20</v>
      </c>
      <c r="F132" s="2">
        <v>1652</v>
      </c>
      <c r="G132" s="1" t="s">
        <v>28</v>
      </c>
      <c r="H132" s="1" t="s">
        <v>140</v>
      </c>
      <c r="I132" s="1" t="str">
        <f t="shared" si="131"/>
        <v>Jan-2024</v>
      </c>
      <c r="J132" s="1">
        <v>2</v>
      </c>
    </row>
    <row r="133" spans="1:10" x14ac:dyDescent="0.3">
      <c r="A133" s="1">
        <v>1056137</v>
      </c>
      <c r="B133" s="1" t="e">
        <f t="shared" ref="B133:B196" si="134">IF(#REF!&lt;500000,"Low Income",
IF(#REF!&lt;=1000000,"Middle Income",
"High Income"))</f>
        <v>#REF!</v>
      </c>
      <c r="C133" s="1" t="s">
        <v>39</v>
      </c>
      <c r="D133" s="1" t="s">
        <v>30</v>
      </c>
      <c r="E133" s="1" t="s">
        <v>24</v>
      </c>
      <c r="F133" s="2">
        <v>25831</v>
      </c>
      <c r="G133" s="1" t="s">
        <v>13</v>
      </c>
      <c r="H133" s="1" t="s">
        <v>85</v>
      </c>
      <c r="I133" s="1" t="str">
        <f t="shared" si="131"/>
        <v>Oct-2023</v>
      </c>
      <c r="J133" s="1">
        <v>2</v>
      </c>
    </row>
    <row r="134" spans="1:10" x14ac:dyDescent="0.3">
      <c r="A134" s="1">
        <v>691322</v>
      </c>
      <c r="B134" s="1" t="e">
        <f t="shared" ref="B134:B197" si="135">IF(#REF!&lt;500000,"Low Income",
IF(#REF!&lt;=1000000,"Middle Income",
"High Income"))</f>
        <v>#REF!</v>
      </c>
      <c r="C134" s="1" t="s">
        <v>10</v>
      </c>
      <c r="D134" s="1" t="s">
        <v>11</v>
      </c>
      <c r="E134" s="1" t="s">
        <v>36</v>
      </c>
      <c r="F134" s="2">
        <v>34682</v>
      </c>
      <c r="G134" s="1" t="s">
        <v>28</v>
      </c>
      <c r="H134" s="1" t="s">
        <v>146</v>
      </c>
      <c r="I134" s="1" t="str">
        <f t="shared" si="131"/>
        <v>Feb-2024</v>
      </c>
      <c r="J134" s="1">
        <v>2</v>
      </c>
    </row>
    <row r="135" spans="1:10" x14ac:dyDescent="0.3">
      <c r="A135" s="1">
        <v>1119726</v>
      </c>
      <c r="B135" s="1" t="e">
        <f t="shared" ref="B135:B198" si="136">IF(#REF!&lt;500000,"Low Income",
IF(#REF!&lt;=1000000,"Middle Income",
"High Income"))</f>
        <v>#REF!</v>
      </c>
      <c r="C135" s="1" t="s">
        <v>23</v>
      </c>
      <c r="D135" s="1" t="s">
        <v>30</v>
      </c>
      <c r="E135" s="1" t="s">
        <v>36</v>
      </c>
      <c r="F135" s="2">
        <v>14859</v>
      </c>
      <c r="G135" s="1" t="s">
        <v>28</v>
      </c>
      <c r="H135" s="1" t="s">
        <v>147</v>
      </c>
      <c r="I135" s="1" t="str">
        <f t="shared" si="131"/>
        <v>Dec-2023</v>
      </c>
      <c r="J135" s="1">
        <v>4</v>
      </c>
    </row>
    <row r="136" spans="1:10" x14ac:dyDescent="0.3">
      <c r="A136" s="1">
        <v>455720</v>
      </c>
      <c r="B136" s="1" t="e">
        <f t="shared" ref="B136:B199" si="137">IF(#REF!&lt;500000,"Low Income",
IF(#REF!&lt;=1000000,"Middle Income",
"High Income"))</f>
        <v>#REF!</v>
      </c>
      <c r="C136" s="1" t="s">
        <v>34</v>
      </c>
      <c r="D136" s="1" t="s">
        <v>11</v>
      </c>
      <c r="E136" s="1" t="s">
        <v>46</v>
      </c>
      <c r="F136" s="2">
        <v>19410</v>
      </c>
      <c r="G136" s="1" t="s">
        <v>13</v>
      </c>
      <c r="H136" s="1" t="s">
        <v>148</v>
      </c>
      <c r="I136" s="1" t="str">
        <f t="shared" si="131"/>
        <v>Dec-2023</v>
      </c>
      <c r="J136" s="1">
        <v>3</v>
      </c>
    </row>
    <row r="137" spans="1:10" x14ac:dyDescent="0.3">
      <c r="A137" s="1">
        <v>1047736</v>
      </c>
      <c r="B137" s="1" t="e">
        <f t="shared" ref="B137:B200" si="138">IF(#REF!&lt;500000,"Low Income",
IF(#REF!&lt;=1000000,"Middle Income",
"High Income"))</f>
        <v>#REF!</v>
      </c>
      <c r="C137" s="1" t="s">
        <v>10</v>
      </c>
      <c r="D137" s="1" t="s">
        <v>11</v>
      </c>
      <c r="E137" s="1" t="s">
        <v>20</v>
      </c>
      <c r="F137" s="2">
        <v>12002</v>
      </c>
      <c r="G137" s="1" t="s">
        <v>28</v>
      </c>
      <c r="H137" s="1" t="s">
        <v>49</v>
      </c>
      <c r="I137" s="1" t="str">
        <f t="shared" si="131"/>
        <v>Feb-2024</v>
      </c>
      <c r="J137" s="1">
        <v>5</v>
      </c>
    </row>
    <row r="138" spans="1:10" x14ac:dyDescent="0.3">
      <c r="A138" s="1">
        <v>827938</v>
      </c>
      <c r="B138" s="1" t="e">
        <f t="shared" ref="B138:B201" si="139">IF(#REF!&lt;500000,"Low Income",
IF(#REF!&lt;=1000000,"Middle Income",
"High Income"))</f>
        <v>#REF!</v>
      </c>
      <c r="C138" s="1" t="s">
        <v>19</v>
      </c>
      <c r="D138" s="1" t="s">
        <v>11</v>
      </c>
      <c r="E138" s="1" t="s">
        <v>46</v>
      </c>
      <c r="F138" s="2">
        <v>18115</v>
      </c>
      <c r="G138" s="1" t="s">
        <v>28</v>
      </c>
      <c r="H138" s="1" t="s">
        <v>149</v>
      </c>
      <c r="I138" s="1" t="str">
        <f t="shared" si="131"/>
        <v>Aug-2023</v>
      </c>
      <c r="J138" s="1">
        <v>5</v>
      </c>
    </row>
    <row r="139" spans="1:10" x14ac:dyDescent="0.3">
      <c r="A139" s="1">
        <v>555056</v>
      </c>
      <c r="B139" s="1" t="e">
        <f t="shared" ref="B139:B202" si="140">IF(#REF!&lt;500000,"Low Income",
IF(#REF!&lt;=1000000,"Middle Income",
"High Income"))</f>
        <v>#REF!</v>
      </c>
      <c r="C139" s="1" t="s">
        <v>34</v>
      </c>
      <c r="D139" s="1" t="s">
        <v>30</v>
      </c>
      <c r="E139" s="1" t="s">
        <v>27</v>
      </c>
      <c r="F139" s="2">
        <v>32213</v>
      </c>
      <c r="G139" s="1" t="s">
        <v>17</v>
      </c>
      <c r="H139" s="1" t="s">
        <v>150</v>
      </c>
      <c r="I139" s="1" t="str">
        <f t="shared" si="131"/>
        <v>Nov-2024</v>
      </c>
      <c r="J139" s="1">
        <v>5</v>
      </c>
    </row>
    <row r="140" spans="1:10" x14ac:dyDescent="0.3">
      <c r="A140" s="1">
        <v>1191885</v>
      </c>
      <c r="B140" s="1" t="e">
        <f t="shared" ref="B140:B203" si="141">IF(#REF!&lt;500000,"Low Income",
IF(#REF!&lt;=1000000,"Middle Income",
"High Income"))</f>
        <v>#REF!</v>
      </c>
      <c r="C140" s="1" t="s">
        <v>19</v>
      </c>
      <c r="D140" s="1" t="s">
        <v>30</v>
      </c>
      <c r="E140" s="1" t="s">
        <v>27</v>
      </c>
      <c r="F140" s="2">
        <v>48356</v>
      </c>
      <c r="G140" s="1" t="s">
        <v>21</v>
      </c>
      <c r="H140" s="1" t="s">
        <v>151</v>
      </c>
      <c r="I140" s="1" t="str">
        <f t="shared" si="131"/>
        <v>Jul-2024</v>
      </c>
      <c r="J140" s="1">
        <v>2</v>
      </c>
    </row>
    <row r="141" spans="1:10" x14ac:dyDescent="0.3">
      <c r="A141" s="1">
        <v>864353</v>
      </c>
      <c r="B141" s="1" t="e">
        <f t="shared" ref="B141:B204" si="142">IF(#REF!&lt;500000,"Low Income",
IF(#REF!&lt;=1000000,"Middle Income",
"High Income"))</f>
        <v>#REF!</v>
      </c>
      <c r="C141" s="1" t="s">
        <v>32</v>
      </c>
      <c r="D141" s="1" t="s">
        <v>11</v>
      </c>
      <c r="E141" s="1" t="s">
        <v>27</v>
      </c>
      <c r="F141" s="2">
        <v>14982</v>
      </c>
      <c r="G141" s="1" t="s">
        <v>21</v>
      </c>
      <c r="H141" s="1" t="s">
        <v>152</v>
      </c>
      <c r="I141" s="1" t="str">
        <f t="shared" si="131"/>
        <v>Aug-2024</v>
      </c>
      <c r="J141" s="1">
        <v>2</v>
      </c>
    </row>
    <row r="142" spans="1:10" x14ac:dyDescent="0.3">
      <c r="A142" s="1">
        <v>383858</v>
      </c>
      <c r="B142" s="1" t="e">
        <f t="shared" ref="B142:B205" si="143">IF(#REF!&lt;500000,"Low Income",
IF(#REF!&lt;=1000000,"Middle Income",
"High Income"))</f>
        <v>#REF!</v>
      </c>
      <c r="C142" s="1" t="s">
        <v>10</v>
      </c>
      <c r="D142" s="1" t="s">
        <v>11</v>
      </c>
      <c r="E142" s="1" t="s">
        <v>24</v>
      </c>
      <c r="F142" s="2">
        <v>40880</v>
      </c>
      <c r="G142" s="1" t="s">
        <v>17</v>
      </c>
      <c r="H142" s="1" t="s">
        <v>153</v>
      </c>
      <c r="I142" s="1" t="str">
        <f t="shared" si="131"/>
        <v>Apr-2024</v>
      </c>
      <c r="J142" s="1">
        <v>4</v>
      </c>
    </row>
    <row r="143" spans="1:10" x14ac:dyDescent="0.3">
      <c r="A143" s="1">
        <v>725458</v>
      </c>
      <c r="B143" s="1" t="e">
        <f t="shared" ref="B143:B206" si="144">IF(#REF!&lt;500000,"Low Income",
IF(#REF!&lt;=1000000,"Middle Income",
"High Income"))</f>
        <v>#REF!</v>
      </c>
      <c r="C143" s="1" t="s">
        <v>19</v>
      </c>
      <c r="D143" s="1" t="s">
        <v>11</v>
      </c>
      <c r="E143" s="1" t="s">
        <v>16</v>
      </c>
      <c r="F143" s="2">
        <v>42908</v>
      </c>
      <c r="G143" s="1" t="s">
        <v>17</v>
      </c>
      <c r="H143" s="1" t="s">
        <v>154</v>
      </c>
      <c r="I143" s="1" t="str">
        <f t="shared" si="131"/>
        <v>Sep-2023</v>
      </c>
      <c r="J143" s="1">
        <v>3</v>
      </c>
    </row>
    <row r="144" spans="1:10" x14ac:dyDescent="0.3">
      <c r="A144" s="1">
        <v>549536</v>
      </c>
      <c r="B144" s="1" t="e">
        <f t="shared" ref="B144:B207" si="145">IF(#REF!&lt;500000,"Low Income",
IF(#REF!&lt;=1000000,"Middle Income",
"High Income"))</f>
        <v>#REF!</v>
      </c>
      <c r="C144" s="1" t="s">
        <v>32</v>
      </c>
      <c r="D144" s="1" t="s">
        <v>30</v>
      </c>
      <c r="E144" s="1" t="s">
        <v>12</v>
      </c>
      <c r="F144" s="2">
        <v>2202</v>
      </c>
      <c r="G144" s="1" t="s">
        <v>13</v>
      </c>
      <c r="H144" s="1" t="s">
        <v>155</v>
      </c>
      <c r="I144" s="1" t="str">
        <f t="shared" si="131"/>
        <v>Apr-2023</v>
      </c>
      <c r="J144" s="1">
        <v>5</v>
      </c>
    </row>
    <row r="145" spans="1:10" x14ac:dyDescent="0.3">
      <c r="A145" s="1">
        <v>1017074</v>
      </c>
      <c r="B145" s="1" t="e">
        <f t="shared" ref="B145:B208" si="146">IF(#REF!&lt;500000,"Low Income",
IF(#REF!&lt;=1000000,"Middle Income",
"High Income"))</f>
        <v>#REF!</v>
      </c>
      <c r="C145" s="1" t="s">
        <v>10</v>
      </c>
      <c r="D145" s="1" t="s">
        <v>11</v>
      </c>
      <c r="E145" s="1" t="s">
        <v>36</v>
      </c>
      <c r="F145" s="2">
        <v>19393</v>
      </c>
      <c r="G145" s="1" t="s">
        <v>17</v>
      </c>
      <c r="H145" s="1" t="s">
        <v>156</v>
      </c>
      <c r="I145" s="1" t="str">
        <f t="shared" si="131"/>
        <v>Nov-2023</v>
      </c>
      <c r="J145" s="1">
        <v>2</v>
      </c>
    </row>
    <row r="146" spans="1:10" x14ac:dyDescent="0.3">
      <c r="A146" s="1">
        <v>504999</v>
      </c>
      <c r="B146" s="1" t="e">
        <f t="shared" ref="B146:B209" si="147">IF(#REF!&lt;500000,"Low Income",
IF(#REF!&lt;=1000000,"Middle Income",
"High Income"))</f>
        <v>#REF!</v>
      </c>
      <c r="C146" s="1" t="s">
        <v>32</v>
      </c>
      <c r="D146" s="1" t="s">
        <v>30</v>
      </c>
      <c r="E146" s="1" t="s">
        <v>27</v>
      </c>
      <c r="F146" s="2">
        <v>17311</v>
      </c>
      <c r="G146" s="1" t="s">
        <v>17</v>
      </c>
      <c r="H146" s="1" t="s">
        <v>157</v>
      </c>
      <c r="I146" s="1" t="str">
        <f t="shared" si="131"/>
        <v>Feb-2024</v>
      </c>
      <c r="J146" s="1">
        <v>4</v>
      </c>
    </row>
    <row r="147" spans="1:10" x14ac:dyDescent="0.3">
      <c r="A147" s="1">
        <v>848315</v>
      </c>
      <c r="B147" s="1" t="e">
        <f t="shared" ref="B147:B210" si="148">IF(#REF!&lt;500000,"Low Income",
IF(#REF!&lt;=1000000,"Middle Income",
"High Income"))</f>
        <v>#REF!</v>
      </c>
      <c r="C147" s="1" t="s">
        <v>10</v>
      </c>
      <c r="D147" s="1" t="s">
        <v>11</v>
      </c>
      <c r="E147" s="1" t="s">
        <v>16</v>
      </c>
      <c r="F147" s="2">
        <v>40592</v>
      </c>
      <c r="G147" s="1" t="s">
        <v>28</v>
      </c>
      <c r="H147" s="1" t="s">
        <v>158</v>
      </c>
      <c r="I147" s="1" t="str">
        <f t="shared" si="131"/>
        <v>Apr-2024</v>
      </c>
      <c r="J147" s="1">
        <v>2</v>
      </c>
    </row>
    <row r="148" spans="1:10" x14ac:dyDescent="0.3">
      <c r="A148" s="1">
        <v>952706</v>
      </c>
      <c r="B148" s="1" t="e">
        <f t="shared" ref="B148:B211" si="149">IF(#REF!&lt;500000,"Low Income",
IF(#REF!&lt;=1000000,"Middle Income",
"High Income"))</f>
        <v>#REF!</v>
      </c>
      <c r="C148" s="1" t="s">
        <v>15</v>
      </c>
      <c r="D148" s="1" t="s">
        <v>11</v>
      </c>
      <c r="E148" s="1" t="s">
        <v>46</v>
      </c>
      <c r="F148" s="2">
        <v>19595</v>
      </c>
      <c r="G148" s="1" t="s">
        <v>13</v>
      </c>
      <c r="H148" s="1" t="s">
        <v>159</v>
      </c>
      <c r="I148" s="1" t="str">
        <f t="shared" si="131"/>
        <v>Dec-2024</v>
      </c>
      <c r="J148" s="1">
        <v>2</v>
      </c>
    </row>
    <row r="149" spans="1:10" x14ac:dyDescent="0.3">
      <c r="A149" s="1">
        <v>1426407</v>
      </c>
      <c r="B149" s="1" t="e">
        <f t="shared" ref="B149:B212" si="150">IF(#REF!&lt;500000,"Low Income",
IF(#REF!&lt;=1000000,"Middle Income",
"High Income"))</f>
        <v>#REF!</v>
      </c>
      <c r="C149" s="1" t="s">
        <v>34</v>
      </c>
      <c r="D149" s="1" t="s">
        <v>11</v>
      </c>
      <c r="E149" s="1" t="s">
        <v>12</v>
      </c>
      <c r="F149" s="2">
        <v>33751</v>
      </c>
      <c r="G149" s="1" t="s">
        <v>17</v>
      </c>
      <c r="H149" s="1" t="s">
        <v>160</v>
      </c>
      <c r="I149" s="1" t="str">
        <f t="shared" si="131"/>
        <v>Jun-2023</v>
      </c>
      <c r="J149" s="1">
        <v>3</v>
      </c>
    </row>
    <row r="150" spans="1:10" x14ac:dyDescent="0.3">
      <c r="A150" s="1">
        <v>502531</v>
      </c>
      <c r="B150" s="1" t="e">
        <f t="shared" ref="B150:B213" si="151">IF(#REF!&lt;500000,"Low Income",
IF(#REF!&lt;=1000000,"Middle Income",
"High Income"))</f>
        <v>#REF!</v>
      </c>
      <c r="C150" s="1" t="s">
        <v>23</v>
      </c>
      <c r="D150" s="1" t="s">
        <v>30</v>
      </c>
      <c r="E150" s="1" t="s">
        <v>16</v>
      </c>
      <c r="F150" s="2">
        <v>7800</v>
      </c>
      <c r="G150" s="1" t="s">
        <v>13</v>
      </c>
      <c r="H150" s="1" t="s">
        <v>161</v>
      </c>
      <c r="I150" s="1" t="str">
        <f t="shared" si="131"/>
        <v>Feb-2024</v>
      </c>
      <c r="J150" s="1">
        <v>4</v>
      </c>
    </row>
    <row r="151" spans="1:10" x14ac:dyDescent="0.3">
      <c r="A151" s="1">
        <v>1396809</v>
      </c>
      <c r="B151" s="1" t="e">
        <f t="shared" ref="B151:B214" si="152">IF(#REF!&lt;500000,"Low Income",
IF(#REF!&lt;=1000000,"Middle Income",
"High Income"))</f>
        <v>#REF!</v>
      </c>
      <c r="C151" s="1" t="s">
        <v>19</v>
      </c>
      <c r="D151" s="1" t="s">
        <v>11</v>
      </c>
      <c r="E151" s="1" t="s">
        <v>16</v>
      </c>
      <c r="F151" s="2">
        <v>38983</v>
      </c>
      <c r="G151" s="1" t="s">
        <v>28</v>
      </c>
      <c r="H151" s="1" t="s">
        <v>162</v>
      </c>
      <c r="I151" s="1" t="str">
        <f t="shared" si="131"/>
        <v>Jan-2024</v>
      </c>
      <c r="J151" s="1">
        <v>4</v>
      </c>
    </row>
    <row r="152" spans="1:10" x14ac:dyDescent="0.3">
      <c r="A152" s="1">
        <v>723413</v>
      </c>
      <c r="B152" s="1" t="e">
        <f t="shared" ref="B152:B215" si="153">IF(#REF!&lt;500000,"Low Income",
IF(#REF!&lt;=1000000,"Middle Income",
"High Income"))</f>
        <v>#REF!</v>
      </c>
      <c r="C152" s="1" t="s">
        <v>19</v>
      </c>
      <c r="D152" s="1" t="s">
        <v>11</v>
      </c>
      <c r="E152" s="1" t="s">
        <v>20</v>
      </c>
      <c r="F152" s="2">
        <v>12677</v>
      </c>
      <c r="G152" s="1" t="s">
        <v>21</v>
      </c>
      <c r="H152" s="1" t="s">
        <v>163</v>
      </c>
      <c r="I152" s="1" t="str">
        <f t="shared" si="131"/>
        <v>Feb-2023</v>
      </c>
      <c r="J152" s="1">
        <v>2</v>
      </c>
    </row>
    <row r="153" spans="1:10" x14ac:dyDescent="0.3">
      <c r="A153" s="1">
        <v>1222353</v>
      </c>
      <c r="B153" s="1" t="e">
        <f t="shared" ref="B153:B216" si="154">IF(#REF!&lt;500000,"Low Income",
IF(#REF!&lt;=1000000,"Middle Income",
"High Income"))</f>
        <v>#REF!</v>
      </c>
      <c r="C153" s="1" t="s">
        <v>19</v>
      </c>
      <c r="D153" s="1" t="s">
        <v>30</v>
      </c>
      <c r="E153" s="1" t="s">
        <v>12</v>
      </c>
      <c r="F153" s="2">
        <v>20132</v>
      </c>
      <c r="G153" s="1" t="s">
        <v>17</v>
      </c>
      <c r="H153" s="1" t="s">
        <v>105</v>
      </c>
      <c r="I153" s="1" t="str">
        <f t="shared" si="131"/>
        <v>Dec-2023</v>
      </c>
      <c r="J153" s="1">
        <v>3</v>
      </c>
    </row>
    <row r="154" spans="1:10" x14ac:dyDescent="0.3">
      <c r="A154" s="1">
        <v>828902</v>
      </c>
      <c r="B154" s="1" t="e">
        <f t="shared" ref="B154:B217" si="155">IF(#REF!&lt;500000,"Low Income",
IF(#REF!&lt;=1000000,"Middle Income",
"High Income"))</f>
        <v>#REF!</v>
      </c>
      <c r="C154" s="1" t="s">
        <v>15</v>
      </c>
      <c r="D154" s="1" t="s">
        <v>11</v>
      </c>
      <c r="E154" s="1" t="s">
        <v>27</v>
      </c>
      <c r="F154" s="2">
        <v>35563</v>
      </c>
      <c r="G154" s="1" t="s">
        <v>13</v>
      </c>
      <c r="H154" s="1" t="s">
        <v>72</v>
      </c>
      <c r="I154" s="1" t="str">
        <f t="shared" si="131"/>
        <v>Dec-2024</v>
      </c>
      <c r="J154" s="1">
        <v>2</v>
      </c>
    </row>
    <row r="155" spans="1:10" x14ac:dyDescent="0.3">
      <c r="A155" s="1">
        <v>812636</v>
      </c>
      <c r="B155" s="1" t="e">
        <f t="shared" ref="B155:B218" si="156">IF(#REF!&lt;500000,"Low Income",
IF(#REF!&lt;=1000000,"Middle Income",
"High Income"))</f>
        <v>#REF!</v>
      </c>
      <c r="C155" s="1" t="s">
        <v>19</v>
      </c>
      <c r="D155" s="1" t="s">
        <v>30</v>
      </c>
      <c r="E155" s="1" t="s">
        <v>46</v>
      </c>
      <c r="F155" s="2">
        <v>45666</v>
      </c>
      <c r="G155" s="1" t="s">
        <v>28</v>
      </c>
      <c r="H155" s="1" t="s">
        <v>164</v>
      </c>
      <c r="I155" s="1" t="str">
        <f t="shared" si="131"/>
        <v>Oct-2023</v>
      </c>
      <c r="J155" s="1">
        <v>4</v>
      </c>
    </row>
    <row r="156" spans="1:10" x14ac:dyDescent="0.3">
      <c r="A156" s="1">
        <v>329644</v>
      </c>
      <c r="B156" s="1" t="e">
        <f t="shared" ref="B156:B219" si="157">IF(#REF!&lt;500000,"Low Income",
IF(#REF!&lt;=1000000,"Middle Income",
"High Income"))</f>
        <v>#REF!</v>
      </c>
      <c r="C156" s="1" t="s">
        <v>23</v>
      </c>
      <c r="D156" s="1" t="s">
        <v>30</v>
      </c>
      <c r="E156" s="1" t="s">
        <v>12</v>
      </c>
      <c r="F156" s="2">
        <v>36079</v>
      </c>
      <c r="G156" s="1" t="s">
        <v>28</v>
      </c>
      <c r="H156" s="1" t="s">
        <v>165</v>
      </c>
      <c r="I156" s="1" t="str">
        <f t="shared" si="131"/>
        <v>Apr-2023</v>
      </c>
      <c r="J156" s="1">
        <v>4</v>
      </c>
    </row>
    <row r="157" spans="1:10" x14ac:dyDescent="0.3">
      <c r="A157" s="1">
        <v>958869</v>
      </c>
      <c r="B157" s="1" t="e">
        <f t="shared" ref="B157:B220" si="158">IF(#REF!&lt;500000,"Low Income",
IF(#REF!&lt;=1000000,"Middle Income",
"High Income"))</f>
        <v>#REF!</v>
      </c>
      <c r="C157" s="1" t="s">
        <v>39</v>
      </c>
      <c r="D157" s="1" t="s">
        <v>11</v>
      </c>
      <c r="E157" s="1" t="s">
        <v>36</v>
      </c>
      <c r="F157" s="2">
        <v>6346</v>
      </c>
      <c r="G157" s="1" t="s">
        <v>13</v>
      </c>
      <c r="H157" s="1" t="s">
        <v>166</v>
      </c>
      <c r="I157" s="1" t="str">
        <f t="shared" si="131"/>
        <v>Sep-2023</v>
      </c>
      <c r="J157" s="1">
        <v>4</v>
      </c>
    </row>
    <row r="158" spans="1:10" x14ac:dyDescent="0.3">
      <c r="A158" s="1">
        <v>769928</v>
      </c>
      <c r="B158" s="1" t="e">
        <f t="shared" ref="B158:B221" si="159">IF(#REF!&lt;500000,"Low Income",
IF(#REF!&lt;=1000000,"Middle Income",
"High Income"))</f>
        <v>#REF!</v>
      </c>
      <c r="C158" s="1" t="s">
        <v>23</v>
      </c>
      <c r="D158" s="1" t="s">
        <v>30</v>
      </c>
      <c r="E158" s="1" t="s">
        <v>24</v>
      </c>
      <c r="F158" s="2">
        <v>41827</v>
      </c>
      <c r="G158" s="1" t="s">
        <v>17</v>
      </c>
      <c r="H158" s="1" t="s">
        <v>167</v>
      </c>
      <c r="I158" s="1" t="str">
        <f t="shared" si="131"/>
        <v>Jul-2023</v>
      </c>
      <c r="J158" s="1">
        <v>5</v>
      </c>
    </row>
    <row r="159" spans="1:10" x14ac:dyDescent="0.3">
      <c r="A159" s="1">
        <v>772436</v>
      </c>
      <c r="B159" s="1" t="e">
        <f t="shared" ref="B159:B222" si="160">IF(#REF!&lt;500000,"Low Income",
IF(#REF!&lt;=1000000,"Middle Income",
"High Income"))</f>
        <v>#REF!</v>
      </c>
      <c r="C159" s="1" t="s">
        <v>23</v>
      </c>
      <c r="D159" s="1" t="s">
        <v>30</v>
      </c>
      <c r="E159" s="1" t="s">
        <v>16</v>
      </c>
      <c r="F159" s="2">
        <v>31012</v>
      </c>
      <c r="G159" s="1" t="s">
        <v>28</v>
      </c>
      <c r="H159" s="1" t="s">
        <v>168</v>
      </c>
      <c r="I159" s="1" t="str">
        <f t="shared" si="131"/>
        <v>Apr-2023</v>
      </c>
      <c r="J159" s="1">
        <v>5</v>
      </c>
    </row>
    <row r="160" spans="1:10" x14ac:dyDescent="0.3">
      <c r="A160" s="1">
        <v>1076657</v>
      </c>
      <c r="B160" s="1" t="e">
        <f t="shared" ref="B160:B223" si="161">IF(#REF!&lt;500000,"Low Income",
IF(#REF!&lt;=1000000,"Middle Income",
"High Income"))</f>
        <v>#REF!</v>
      </c>
      <c r="C160" s="1" t="s">
        <v>10</v>
      </c>
      <c r="D160" s="1" t="s">
        <v>30</v>
      </c>
      <c r="E160" s="1" t="s">
        <v>46</v>
      </c>
      <c r="F160" s="2">
        <v>15977</v>
      </c>
      <c r="G160" s="1" t="s">
        <v>13</v>
      </c>
      <c r="H160" s="1" t="s">
        <v>169</v>
      </c>
      <c r="I160" s="1" t="str">
        <f t="shared" si="131"/>
        <v>Jun-2023</v>
      </c>
      <c r="J160" s="1">
        <v>4</v>
      </c>
    </row>
    <row r="161" spans="1:10" x14ac:dyDescent="0.3">
      <c r="A161" s="1">
        <v>1387056</v>
      </c>
      <c r="B161" s="1" t="e">
        <f t="shared" ref="B161:B224" si="162">IF(#REF!&lt;500000,"Low Income",
IF(#REF!&lt;=1000000,"Middle Income",
"High Income"))</f>
        <v>#REF!</v>
      </c>
      <c r="C161" s="1" t="s">
        <v>15</v>
      </c>
      <c r="D161" s="1" t="s">
        <v>11</v>
      </c>
      <c r="E161" s="1" t="s">
        <v>20</v>
      </c>
      <c r="F161" s="2">
        <v>26604</v>
      </c>
      <c r="G161" s="1" t="s">
        <v>17</v>
      </c>
      <c r="H161" s="1" t="s">
        <v>170</v>
      </c>
      <c r="I161" s="1" t="str">
        <f t="shared" si="131"/>
        <v>Jul-2023</v>
      </c>
      <c r="J161" s="1">
        <v>5</v>
      </c>
    </row>
    <row r="162" spans="1:10" x14ac:dyDescent="0.3">
      <c r="A162" s="1">
        <v>353141</v>
      </c>
      <c r="B162" s="1" t="e">
        <f t="shared" ref="B162:B225" si="163">IF(#REF!&lt;500000,"Low Income",
IF(#REF!&lt;=1000000,"Middle Income",
"High Income"))</f>
        <v>#REF!</v>
      </c>
      <c r="C162" s="1" t="s">
        <v>23</v>
      </c>
      <c r="D162" s="1" t="s">
        <v>30</v>
      </c>
      <c r="E162" s="1" t="s">
        <v>24</v>
      </c>
      <c r="F162" s="2">
        <v>33940</v>
      </c>
      <c r="G162" s="1" t="s">
        <v>28</v>
      </c>
      <c r="H162" s="1" t="s">
        <v>99</v>
      </c>
      <c r="I162" s="1" t="str">
        <f t="shared" si="131"/>
        <v>May-2023</v>
      </c>
      <c r="J162" s="1">
        <v>5</v>
      </c>
    </row>
    <row r="163" spans="1:10" x14ac:dyDescent="0.3">
      <c r="A163" s="1">
        <v>481295</v>
      </c>
      <c r="B163" s="1" t="e">
        <f t="shared" ref="B163:B226" si="164">IF(#REF!&lt;500000,"Low Income",
IF(#REF!&lt;=1000000,"Middle Income",
"High Income"))</f>
        <v>#REF!</v>
      </c>
      <c r="C163" s="1" t="s">
        <v>34</v>
      </c>
      <c r="D163" s="1" t="s">
        <v>11</v>
      </c>
      <c r="E163" s="1" t="s">
        <v>20</v>
      </c>
      <c r="F163" s="2">
        <v>4455</v>
      </c>
      <c r="G163" s="1" t="s">
        <v>28</v>
      </c>
      <c r="H163" s="1" t="s">
        <v>171</v>
      </c>
      <c r="I163" s="1" t="str">
        <f t="shared" si="131"/>
        <v>Nov-2024</v>
      </c>
      <c r="J163" s="1">
        <v>5</v>
      </c>
    </row>
    <row r="164" spans="1:10" x14ac:dyDescent="0.3">
      <c r="A164" s="1">
        <v>305209</v>
      </c>
      <c r="B164" s="1" t="e">
        <f t="shared" ref="B164:B227" si="165">IF(#REF!&lt;500000,"Low Income",
IF(#REF!&lt;=1000000,"Middle Income",
"High Income"))</f>
        <v>#REF!</v>
      </c>
      <c r="C164" s="1" t="s">
        <v>23</v>
      </c>
      <c r="D164" s="1" t="s">
        <v>30</v>
      </c>
      <c r="E164" s="1" t="s">
        <v>12</v>
      </c>
      <c r="F164" s="2">
        <v>45159</v>
      </c>
      <c r="G164" s="1" t="s">
        <v>17</v>
      </c>
      <c r="H164" s="1" t="s">
        <v>172</v>
      </c>
      <c r="I164" s="1" t="str">
        <f t="shared" si="131"/>
        <v>Oct-2024</v>
      </c>
      <c r="J164" s="1">
        <v>4</v>
      </c>
    </row>
    <row r="165" spans="1:10" x14ac:dyDescent="0.3">
      <c r="A165" s="1">
        <v>506782</v>
      </c>
      <c r="B165" s="1" t="e">
        <f t="shared" ref="B165:B228" si="166">IF(#REF!&lt;500000,"Low Income",
IF(#REF!&lt;=1000000,"Middle Income",
"High Income"))</f>
        <v>#REF!</v>
      </c>
      <c r="C165" s="1" t="s">
        <v>15</v>
      </c>
      <c r="D165" s="1" t="s">
        <v>30</v>
      </c>
      <c r="E165" s="1" t="s">
        <v>20</v>
      </c>
      <c r="F165" s="2">
        <v>18452</v>
      </c>
      <c r="G165" s="1" t="s">
        <v>13</v>
      </c>
      <c r="H165" s="1" t="s">
        <v>173</v>
      </c>
      <c r="I165" s="1" t="str">
        <f t="shared" si="131"/>
        <v>Feb-2023</v>
      </c>
      <c r="J165" s="1">
        <v>5</v>
      </c>
    </row>
    <row r="166" spans="1:10" x14ac:dyDescent="0.3">
      <c r="A166" s="1">
        <v>949376</v>
      </c>
      <c r="B166" s="1" t="e">
        <f t="shared" ref="B166:B229" si="167">IF(#REF!&lt;500000,"Low Income",
IF(#REF!&lt;=1000000,"Middle Income",
"High Income"))</f>
        <v>#REF!</v>
      </c>
      <c r="C166" s="1" t="s">
        <v>39</v>
      </c>
      <c r="D166" s="1" t="s">
        <v>11</v>
      </c>
      <c r="E166" s="1" t="s">
        <v>12</v>
      </c>
      <c r="F166" s="2">
        <v>9300</v>
      </c>
      <c r="G166" s="1" t="s">
        <v>21</v>
      </c>
      <c r="H166" s="1" t="s">
        <v>174</v>
      </c>
      <c r="I166" s="1" t="str">
        <f t="shared" si="131"/>
        <v>Apr-2024</v>
      </c>
      <c r="J166" s="1">
        <v>2</v>
      </c>
    </row>
    <row r="167" spans="1:10" x14ac:dyDescent="0.3">
      <c r="A167" s="1">
        <v>363601</v>
      </c>
      <c r="B167" s="1" t="e">
        <f t="shared" ref="B167:B230" si="168">IF(#REF!&lt;500000,"Low Income",
IF(#REF!&lt;=1000000,"Middle Income",
"High Income"))</f>
        <v>#REF!</v>
      </c>
      <c r="C167" s="1" t="s">
        <v>23</v>
      </c>
      <c r="D167" s="1" t="s">
        <v>30</v>
      </c>
      <c r="E167" s="1" t="s">
        <v>27</v>
      </c>
      <c r="F167" s="2">
        <v>11818</v>
      </c>
      <c r="G167" s="1" t="s">
        <v>28</v>
      </c>
      <c r="H167" s="1" t="s">
        <v>175</v>
      </c>
      <c r="I167" s="1" t="str">
        <f t="shared" si="131"/>
        <v>Aug-2023</v>
      </c>
      <c r="J167" s="1">
        <v>4</v>
      </c>
    </row>
    <row r="168" spans="1:10" x14ac:dyDescent="0.3">
      <c r="A168" s="1">
        <v>1451565</v>
      </c>
      <c r="B168" s="1" t="e">
        <f t="shared" ref="B168:B231" si="169">IF(#REF!&lt;500000,"Low Income",
IF(#REF!&lt;=1000000,"Middle Income",
"High Income"))</f>
        <v>#REF!</v>
      </c>
      <c r="C168" s="1" t="s">
        <v>19</v>
      </c>
      <c r="D168" s="1" t="s">
        <v>30</v>
      </c>
      <c r="E168" s="1" t="s">
        <v>46</v>
      </c>
      <c r="F168" s="2">
        <v>34433</v>
      </c>
      <c r="G168" s="1" t="s">
        <v>13</v>
      </c>
      <c r="H168" s="1" t="s">
        <v>176</v>
      </c>
      <c r="I168" s="1" t="str">
        <f t="shared" si="131"/>
        <v>Aug-2023</v>
      </c>
      <c r="J168" s="1">
        <v>5</v>
      </c>
    </row>
    <row r="169" spans="1:10" x14ac:dyDescent="0.3">
      <c r="A169" s="1">
        <v>1342243</v>
      </c>
      <c r="B169" s="1" t="e">
        <f t="shared" ref="B169:B232" si="170">IF(#REF!&lt;500000,"Low Income",
IF(#REF!&lt;=1000000,"Middle Income",
"High Income"))</f>
        <v>#REF!</v>
      </c>
      <c r="C169" s="1" t="s">
        <v>32</v>
      </c>
      <c r="D169" s="1" t="s">
        <v>11</v>
      </c>
      <c r="E169" s="1" t="s">
        <v>27</v>
      </c>
      <c r="F169" s="2">
        <v>29198</v>
      </c>
      <c r="G169" s="1" t="s">
        <v>13</v>
      </c>
      <c r="H169" s="1" t="s">
        <v>26</v>
      </c>
      <c r="I169" s="1" t="str">
        <f t="shared" si="131"/>
        <v>Jan-2023</v>
      </c>
      <c r="J169" s="1">
        <v>4</v>
      </c>
    </row>
    <row r="170" spans="1:10" x14ac:dyDescent="0.3">
      <c r="A170" s="1">
        <v>1262898</v>
      </c>
      <c r="B170" s="1" t="e">
        <f t="shared" ref="B170:B233" si="171">IF(#REF!&lt;500000,"Low Income",
IF(#REF!&lt;=1000000,"Middle Income",
"High Income"))</f>
        <v>#REF!</v>
      </c>
      <c r="C170" s="1" t="s">
        <v>19</v>
      </c>
      <c r="D170" s="1" t="s">
        <v>30</v>
      </c>
      <c r="E170" s="1" t="s">
        <v>20</v>
      </c>
      <c r="F170" s="2">
        <v>19671</v>
      </c>
      <c r="G170" s="1" t="s">
        <v>13</v>
      </c>
      <c r="H170" s="1" t="s">
        <v>177</v>
      </c>
      <c r="I170" s="1" t="str">
        <f t="shared" si="131"/>
        <v>Jan-2023</v>
      </c>
      <c r="J170" s="1">
        <v>5</v>
      </c>
    </row>
    <row r="171" spans="1:10" x14ac:dyDescent="0.3">
      <c r="A171" s="1">
        <v>850325</v>
      </c>
      <c r="B171" s="1" t="e">
        <f t="shared" ref="B171:B234" si="172">IF(#REF!&lt;500000,"Low Income",
IF(#REF!&lt;=1000000,"Middle Income",
"High Income"))</f>
        <v>#REF!</v>
      </c>
      <c r="C171" s="1" t="s">
        <v>23</v>
      </c>
      <c r="D171" s="1" t="s">
        <v>30</v>
      </c>
      <c r="E171" s="1" t="s">
        <v>16</v>
      </c>
      <c r="F171" s="2">
        <v>12993</v>
      </c>
      <c r="G171" s="1" t="s">
        <v>13</v>
      </c>
      <c r="H171" s="1" t="s">
        <v>178</v>
      </c>
      <c r="I171" s="1" t="str">
        <f t="shared" si="131"/>
        <v>Mar-2024</v>
      </c>
      <c r="J171" s="1">
        <v>4</v>
      </c>
    </row>
    <row r="172" spans="1:10" x14ac:dyDescent="0.3">
      <c r="A172" s="1">
        <v>920714</v>
      </c>
      <c r="B172" s="1" t="e">
        <f t="shared" ref="B172:B235" si="173">IF(#REF!&lt;500000,"Low Income",
IF(#REF!&lt;=1000000,"Middle Income",
"High Income"))</f>
        <v>#REF!</v>
      </c>
      <c r="C172" s="1" t="s">
        <v>10</v>
      </c>
      <c r="D172" s="1" t="s">
        <v>30</v>
      </c>
      <c r="E172" s="1" t="s">
        <v>36</v>
      </c>
      <c r="F172" s="2">
        <v>13765</v>
      </c>
      <c r="G172" s="1" t="s">
        <v>21</v>
      </c>
      <c r="H172" s="1" t="s">
        <v>179</v>
      </c>
      <c r="I172" s="1" t="str">
        <f t="shared" si="131"/>
        <v>Jul-2023</v>
      </c>
      <c r="J172" s="1">
        <v>4</v>
      </c>
    </row>
    <row r="173" spans="1:10" x14ac:dyDescent="0.3">
      <c r="A173" s="1">
        <v>956925</v>
      </c>
      <c r="B173" s="1" t="e">
        <f t="shared" ref="B173:B236" si="174">IF(#REF!&lt;500000,"Low Income",
IF(#REF!&lt;=1000000,"Middle Income",
"High Income"))</f>
        <v>#REF!</v>
      </c>
      <c r="C173" s="1" t="s">
        <v>15</v>
      </c>
      <c r="D173" s="1" t="s">
        <v>30</v>
      </c>
      <c r="E173" s="1" t="s">
        <v>36</v>
      </c>
      <c r="F173" s="2">
        <v>39988</v>
      </c>
      <c r="G173" s="1" t="s">
        <v>17</v>
      </c>
      <c r="H173" s="1" t="s">
        <v>165</v>
      </c>
      <c r="I173" s="1" t="str">
        <f t="shared" si="131"/>
        <v>Apr-2023</v>
      </c>
      <c r="J173" s="1">
        <v>4</v>
      </c>
    </row>
    <row r="174" spans="1:10" x14ac:dyDescent="0.3">
      <c r="A174" s="1">
        <v>1274420</v>
      </c>
      <c r="B174" s="1" t="e">
        <f t="shared" ref="B174:B237" si="175">IF(#REF!&lt;500000,"Low Income",
IF(#REF!&lt;=1000000,"Middle Income",
"High Income"))</f>
        <v>#REF!</v>
      </c>
      <c r="C174" s="1" t="s">
        <v>15</v>
      </c>
      <c r="D174" s="1" t="s">
        <v>30</v>
      </c>
      <c r="E174" s="1" t="s">
        <v>24</v>
      </c>
      <c r="F174" s="2">
        <v>37457</v>
      </c>
      <c r="G174" s="1" t="s">
        <v>21</v>
      </c>
      <c r="H174" s="1" t="s">
        <v>180</v>
      </c>
      <c r="I174" s="1" t="str">
        <f t="shared" si="131"/>
        <v>May-2024</v>
      </c>
      <c r="J174" s="1">
        <v>5</v>
      </c>
    </row>
    <row r="175" spans="1:10" x14ac:dyDescent="0.3">
      <c r="A175" s="1">
        <v>384697</v>
      </c>
      <c r="B175" s="1" t="e">
        <f t="shared" ref="B175:B238" si="176">IF(#REF!&lt;500000,"Low Income",
IF(#REF!&lt;=1000000,"Middle Income",
"High Income"))</f>
        <v>#REF!</v>
      </c>
      <c r="C175" s="1" t="s">
        <v>32</v>
      </c>
      <c r="D175" s="1" t="s">
        <v>30</v>
      </c>
      <c r="E175" s="1" t="s">
        <v>46</v>
      </c>
      <c r="F175" s="2">
        <v>47435</v>
      </c>
      <c r="G175" s="1" t="s">
        <v>17</v>
      </c>
      <c r="H175" s="1" t="s">
        <v>181</v>
      </c>
      <c r="I175" s="1" t="str">
        <f t="shared" si="131"/>
        <v>Sep-2024</v>
      </c>
      <c r="J175" s="1">
        <v>3</v>
      </c>
    </row>
    <row r="176" spans="1:10" x14ac:dyDescent="0.3">
      <c r="A176" s="1">
        <v>1477424</v>
      </c>
      <c r="B176" s="1" t="e">
        <f t="shared" ref="B176:B239" si="177">IF(#REF!&lt;500000,"Low Income",
IF(#REF!&lt;=1000000,"Middle Income",
"High Income"))</f>
        <v>#REF!</v>
      </c>
      <c r="C176" s="1" t="s">
        <v>19</v>
      </c>
      <c r="D176" s="1" t="s">
        <v>30</v>
      </c>
      <c r="E176" s="1" t="s">
        <v>27</v>
      </c>
      <c r="F176" s="2">
        <v>28349</v>
      </c>
      <c r="G176" s="1" t="s">
        <v>13</v>
      </c>
      <c r="H176" s="1" t="s">
        <v>51</v>
      </c>
      <c r="I176" s="1" t="str">
        <f t="shared" si="131"/>
        <v>Nov-2023</v>
      </c>
      <c r="J176" s="1">
        <v>2</v>
      </c>
    </row>
    <row r="177" spans="1:10" x14ac:dyDescent="0.3">
      <c r="A177" s="1">
        <v>1254724</v>
      </c>
      <c r="B177" s="1" t="e">
        <f t="shared" ref="B177:B240" si="178">IF(#REF!&lt;500000,"Low Income",
IF(#REF!&lt;=1000000,"Middle Income",
"High Income"))</f>
        <v>#REF!</v>
      </c>
      <c r="C177" s="1" t="s">
        <v>10</v>
      </c>
      <c r="D177" s="1" t="s">
        <v>30</v>
      </c>
      <c r="E177" s="1" t="s">
        <v>12</v>
      </c>
      <c r="F177" s="2">
        <v>41803</v>
      </c>
      <c r="G177" s="1" t="s">
        <v>17</v>
      </c>
      <c r="H177" s="1" t="s">
        <v>182</v>
      </c>
      <c r="I177" s="1" t="str">
        <f t="shared" si="131"/>
        <v>Jul-2023</v>
      </c>
      <c r="J177" s="1">
        <v>5</v>
      </c>
    </row>
    <row r="178" spans="1:10" x14ac:dyDescent="0.3">
      <c r="A178" s="1">
        <v>880522</v>
      </c>
      <c r="B178" s="1" t="e">
        <f t="shared" ref="B178:B241" si="179">IF(#REF!&lt;500000,"Low Income",
IF(#REF!&lt;=1000000,"Middle Income",
"High Income"))</f>
        <v>#REF!</v>
      </c>
      <c r="C178" s="1" t="s">
        <v>19</v>
      </c>
      <c r="D178" s="1" t="s">
        <v>11</v>
      </c>
      <c r="E178" s="1" t="s">
        <v>36</v>
      </c>
      <c r="F178" s="2">
        <v>7970</v>
      </c>
      <c r="G178" s="1" t="s">
        <v>28</v>
      </c>
      <c r="H178" s="1" t="s">
        <v>52</v>
      </c>
      <c r="I178" s="1" t="str">
        <f t="shared" si="131"/>
        <v>Nov-2023</v>
      </c>
      <c r="J178" s="1">
        <v>4</v>
      </c>
    </row>
    <row r="179" spans="1:10" x14ac:dyDescent="0.3">
      <c r="A179" s="1">
        <v>1022195</v>
      </c>
      <c r="B179" s="1" t="e">
        <f t="shared" ref="B179:B242" si="180">IF(#REF!&lt;500000,"Low Income",
IF(#REF!&lt;=1000000,"Middle Income",
"High Income"))</f>
        <v>#REF!</v>
      </c>
      <c r="C179" s="1" t="s">
        <v>32</v>
      </c>
      <c r="D179" s="1" t="s">
        <v>11</v>
      </c>
      <c r="E179" s="1" t="s">
        <v>12</v>
      </c>
      <c r="F179" s="2">
        <v>1074</v>
      </c>
      <c r="G179" s="1" t="s">
        <v>13</v>
      </c>
      <c r="H179" s="1" t="s">
        <v>45</v>
      </c>
      <c r="I179" s="1" t="str">
        <f t="shared" si="131"/>
        <v>Jun-2023</v>
      </c>
      <c r="J179" s="1">
        <v>3</v>
      </c>
    </row>
    <row r="180" spans="1:10" x14ac:dyDescent="0.3">
      <c r="A180" s="1">
        <v>1084329</v>
      </c>
      <c r="B180" s="1" t="e">
        <f t="shared" ref="B180:B243" si="181">IF(#REF!&lt;500000,"Low Income",
IF(#REF!&lt;=1000000,"Middle Income",
"High Income"))</f>
        <v>#REF!</v>
      </c>
      <c r="C180" s="1" t="s">
        <v>39</v>
      </c>
      <c r="D180" s="1" t="s">
        <v>30</v>
      </c>
      <c r="E180" s="1" t="s">
        <v>12</v>
      </c>
      <c r="F180" s="2">
        <v>46663</v>
      </c>
      <c r="G180" s="1" t="s">
        <v>13</v>
      </c>
      <c r="H180" s="1" t="s">
        <v>183</v>
      </c>
      <c r="I180" s="1" t="str">
        <f t="shared" si="131"/>
        <v>May-2023</v>
      </c>
      <c r="J180" s="1">
        <v>2</v>
      </c>
    </row>
    <row r="181" spans="1:10" x14ac:dyDescent="0.3">
      <c r="A181" s="1">
        <v>1184346</v>
      </c>
      <c r="B181" s="1" t="e">
        <f t="shared" ref="B181:B244" si="182">IF(#REF!&lt;500000,"Low Income",
IF(#REF!&lt;=1000000,"Middle Income",
"High Income"))</f>
        <v>#REF!</v>
      </c>
      <c r="C181" s="1" t="s">
        <v>15</v>
      </c>
      <c r="D181" s="1" t="s">
        <v>30</v>
      </c>
      <c r="E181" s="1" t="s">
        <v>36</v>
      </c>
      <c r="F181" s="2">
        <v>38390</v>
      </c>
      <c r="G181" s="1" t="s">
        <v>13</v>
      </c>
      <c r="H181" s="1" t="s">
        <v>184</v>
      </c>
      <c r="I181" s="1" t="str">
        <f t="shared" si="131"/>
        <v>Aug-2023</v>
      </c>
      <c r="J181" s="1">
        <v>3</v>
      </c>
    </row>
    <row r="182" spans="1:10" x14ac:dyDescent="0.3">
      <c r="A182" s="1">
        <v>1256653</v>
      </c>
      <c r="B182" s="1" t="e">
        <f t="shared" ref="B182:B245" si="183">IF(#REF!&lt;500000,"Low Income",
IF(#REF!&lt;=1000000,"Middle Income",
"High Income"))</f>
        <v>#REF!</v>
      </c>
      <c r="C182" s="1" t="s">
        <v>39</v>
      </c>
      <c r="D182" s="1" t="s">
        <v>30</v>
      </c>
      <c r="E182" s="1" t="s">
        <v>46</v>
      </c>
      <c r="F182" s="2">
        <v>16602</v>
      </c>
      <c r="G182" s="1" t="s">
        <v>17</v>
      </c>
      <c r="H182" s="1" t="s">
        <v>185</v>
      </c>
      <c r="I182" s="1" t="str">
        <f t="shared" si="131"/>
        <v>Feb-2024</v>
      </c>
      <c r="J182" s="1">
        <v>2</v>
      </c>
    </row>
    <row r="183" spans="1:10" x14ac:dyDescent="0.3">
      <c r="A183" s="1">
        <v>1224272</v>
      </c>
      <c r="B183" s="1" t="e">
        <f t="shared" ref="B183:B246" si="184">IF(#REF!&lt;500000,"Low Income",
IF(#REF!&lt;=1000000,"Middle Income",
"High Income"))</f>
        <v>#REF!</v>
      </c>
      <c r="C183" s="1" t="s">
        <v>32</v>
      </c>
      <c r="D183" s="1" t="s">
        <v>30</v>
      </c>
      <c r="E183" s="1" t="s">
        <v>36</v>
      </c>
      <c r="F183" s="2">
        <v>35732</v>
      </c>
      <c r="G183" s="1" t="s">
        <v>13</v>
      </c>
      <c r="H183" s="1" t="s">
        <v>55</v>
      </c>
      <c r="I183" s="1" t="str">
        <f t="shared" si="131"/>
        <v>Jan-2024</v>
      </c>
      <c r="J183" s="1">
        <v>3</v>
      </c>
    </row>
    <row r="184" spans="1:10" x14ac:dyDescent="0.3">
      <c r="A184" s="1">
        <v>1491260</v>
      </c>
      <c r="B184" s="1" t="e">
        <f t="shared" ref="B184:B247" si="185">IF(#REF!&lt;500000,"Low Income",
IF(#REF!&lt;=1000000,"Middle Income",
"High Income"))</f>
        <v>#REF!</v>
      </c>
      <c r="C184" s="1" t="s">
        <v>10</v>
      </c>
      <c r="D184" s="1" t="s">
        <v>11</v>
      </c>
      <c r="E184" s="1" t="s">
        <v>12</v>
      </c>
      <c r="F184" s="2">
        <v>42480</v>
      </c>
      <c r="G184" s="1" t="s">
        <v>21</v>
      </c>
      <c r="H184" s="1" t="s">
        <v>186</v>
      </c>
      <c r="I184" s="1" t="str">
        <f t="shared" si="131"/>
        <v>Apr-2024</v>
      </c>
      <c r="J184" s="1">
        <v>2</v>
      </c>
    </row>
    <row r="185" spans="1:10" x14ac:dyDescent="0.3">
      <c r="A185" s="1">
        <v>925744</v>
      </c>
      <c r="B185" s="1" t="e">
        <f t="shared" ref="B185:B248" si="186">IF(#REF!&lt;500000,"Low Income",
IF(#REF!&lt;=1000000,"Middle Income",
"High Income"))</f>
        <v>#REF!</v>
      </c>
      <c r="C185" s="1" t="s">
        <v>10</v>
      </c>
      <c r="D185" s="1" t="s">
        <v>30</v>
      </c>
      <c r="E185" s="1" t="s">
        <v>27</v>
      </c>
      <c r="F185" s="2">
        <v>2127</v>
      </c>
      <c r="G185" s="1" t="s">
        <v>13</v>
      </c>
      <c r="H185" s="1" t="s">
        <v>187</v>
      </c>
      <c r="I185" s="1" t="str">
        <f t="shared" si="131"/>
        <v>Nov-2023</v>
      </c>
      <c r="J185" s="1">
        <v>4</v>
      </c>
    </row>
    <row r="186" spans="1:10" x14ac:dyDescent="0.3">
      <c r="A186" s="1">
        <v>729663</v>
      </c>
      <c r="B186" s="1" t="e">
        <f t="shared" ref="B186:B249" si="187">IF(#REF!&lt;500000,"Low Income",
IF(#REF!&lt;=1000000,"Middle Income",
"High Income"))</f>
        <v>#REF!</v>
      </c>
      <c r="C186" s="1" t="s">
        <v>19</v>
      </c>
      <c r="D186" s="1" t="s">
        <v>30</v>
      </c>
      <c r="E186" s="1" t="s">
        <v>16</v>
      </c>
      <c r="F186" s="2">
        <v>14533</v>
      </c>
      <c r="G186" s="1" t="s">
        <v>13</v>
      </c>
      <c r="H186" s="1" t="s">
        <v>188</v>
      </c>
      <c r="I186" s="1" t="str">
        <f t="shared" si="131"/>
        <v>Sep-2024</v>
      </c>
      <c r="J186" s="1">
        <v>5</v>
      </c>
    </row>
    <row r="187" spans="1:10" x14ac:dyDescent="0.3">
      <c r="A187" s="1">
        <v>493519</v>
      </c>
      <c r="B187" s="1" t="e">
        <f t="shared" ref="B187:B250" si="188">IF(#REF!&lt;500000,"Low Income",
IF(#REF!&lt;=1000000,"Middle Income",
"High Income"))</f>
        <v>#REF!</v>
      </c>
      <c r="C187" s="1" t="s">
        <v>23</v>
      </c>
      <c r="D187" s="1" t="s">
        <v>30</v>
      </c>
      <c r="E187" s="1" t="s">
        <v>27</v>
      </c>
      <c r="F187" s="2">
        <v>5699</v>
      </c>
      <c r="G187" s="1" t="s">
        <v>21</v>
      </c>
      <c r="H187" s="1" t="s">
        <v>189</v>
      </c>
      <c r="I187" s="1" t="str">
        <f t="shared" si="131"/>
        <v>Jan-2023</v>
      </c>
      <c r="J187" s="1">
        <v>2</v>
      </c>
    </row>
    <row r="188" spans="1:10" x14ac:dyDescent="0.3">
      <c r="A188" s="1">
        <v>411927</v>
      </c>
      <c r="B188" s="1" t="e">
        <f t="shared" ref="B188:B251" si="189">IF(#REF!&lt;500000,"Low Income",
IF(#REF!&lt;=1000000,"Middle Income",
"High Income"))</f>
        <v>#REF!</v>
      </c>
      <c r="C188" s="1" t="s">
        <v>34</v>
      </c>
      <c r="D188" s="1" t="s">
        <v>30</v>
      </c>
      <c r="E188" s="1" t="s">
        <v>12</v>
      </c>
      <c r="F188" s="2">
        <v>34253</v>
      </c>
      <c r="G188" s="1" t="s">
        <v>13</v>
      </c>
      <c r="H188" s="1" t="s">
        <v>165</v>
      </c>
      <c r="I188" s="1" t="str">
        <f t="shared" si="131"/>
        <v>Apr-2023</v>
      </c>
      <c r="J188" s="1">
        <v>4</v>
      </c>
    </row>
    <row r="189" spans="1:10" x14ac:dyDescent="0.3">
      <c r="A189" s="1">
        <v>500742</v>
      </c>
      <c r="B189" s="1" t="e">
        <f t="shared" ref="B189:B252" si="190">IF(#REF!&lt;500000,"Low Income",
IF(#REF!&lt;=1000000,"Middle Income",
"High Income"))</f>
        <v>#REF!</v>
      </c>
      <c r="C189" s="1" t="s">
        <v>15</v>
      </c>
      <c r="D189" s="1" t="s">
        <v>30</v>
      </c>
      <c r="E189" s="1" t="s">
        <v>27</v>
      </c>
      <c r="F189" s="2">
        <v>39505</v>
      </c>
      <c r="G189" s="1" t="s">
        <v>28</v>
      </c>
      <c r="H189" s="1" t="s">
        <v>14</v>
      </c>
      <c r="I189" s="1" t="str">
        <f t="shared" si="131"/>
        <v>Jun-2024</v>
      </c>
      <c r="J189" s="1">
        <v>5</v>
      </c>
    </row>
    <row r="190" spans="1:10" x14ac:dyDescent="0.3">
      <c r="A190" s="1">
        <v>1114911</v>
      </c>
      <c r="B190" s="1" t="e">
        <f t="shared" ref="B190:B253" si="191">IF(#REF!&lt;500000,"Low Income",
IF(#REF!&lt;=1000000,"Middle Income",
"High Income"))</f>
        <v>#REF!</v>
      </c>
      <c r="C190" s="1" t="s">
        <v>32</v>
      </c>
      <c r="D190" s="1" t="s">
        <v>30</v>
      </c>
      <c r="E190" s="1" t="s">
        <v>46</v>
      </c>
      <c r="F190" s="2">
        <v>35776</v>
      </c>
      <c r="G190" s="1" t="s">
        <v>17</v>
      </c>
      <c r="H190" s="1" t="s">
        <v>190</v>
      </c>
      <c r="I190" s="1" t="str">
        <f t="shared" si="131"/>
        <v>Oct-2023</v>
      </c>
      <c r="J190" s="1">
        <v>4</v>
      </c>
    </row>
    <row r="191" spans="1:10" x14ac:dyDescent="0.3">
      <c r="A191" s="1">
        <v>977376</v>
      </c>
      <c r="B191" s="1" t="e">
        <f t="shared" ref="B191:B254" si="192">IF(#REF!&lt;500000,"Low Income",
IF(#REF!&lt;=1000000,"Middle Income",
"High Income"))</f>
        <v>#REF!</v>
      </c>
      <c r="C191" s="1" t="s">
        <v>39</v>
      </c>
      <c r="D191" s="1" t="s">
        <v>30</v>
      </c>
      <c r="E191" s="1" t="s">
        <v>46</v>
      </c>
      <c r="F191" s="2">
        <v>19765</v>
      </c>
      <c r="G191" s="1" t="s">
        <v>13</v>
      </c>
      <c r="H191" s="1" t="s">
        <v>191</v>
      </c>
      <c r="I191" s="1" t="str">
        <f t="shared" si="131"/>
        <v>Jun-2023</v>
      </c>
      <c r="J191" s="1">
        <v>3</v>
      </c>
    </row>
    <row r="192" spans="1:10" x14ac:dyDescent="0.3">
      <c r="A192" s="1">
        <v>622436</v>
      </c>
      <c r="B192" s="1" t="e">
        <f t="shared" ref="B192:B255" si="193">IF(#REF!&lt;500000,"Low Income",
IF(#REF!&lt;=1000000,"Middle Income",
"High Income"))</f>
        <v>#REF!</v>
      </c>
      <c r="C192" s="1" t="s">
        <v>39</v>
      </c>
      <c r="D192" s="1" t="s">
        <v>11</v>
      </c>
      <c r="E192" s="1" t="s">
        <v>24</v>
      </c>
      <c r="F192" s="2">
        <v>3851</v>
      </c>
      <c r="G192" s="1" t="s">
        <v>21</v>
      </c>
      <c r="H192" s="1" t="s">
        <v>192</v>
      </c>
      <c r="I192" s="1" t="str">
        <f t="shared" si="131"/>
        <v>Apr-2023</v>
      </c>
      <c r="J192" s="1">
        <v>2</v>
      </c>
    </row>
    <row r="193" spans="1:10" x14ac:dyDescent="0.3">
      <c r="A193" s="1">
        <v>365093</v>
      </c>
      <c r="B193" s="1" t="e">
        <f t="shared" ref="B193:B256" si="194">IF(#REF!&lt;500000,"Low Income",
IF(#REF!&lt;=1000000,"Middle Income",
"High Income"))</f>
        <v>#REF!</v>
      </c>
      <c r="C193" s="1" t="s">
        <v>34</v>
      </c>
      <c r="D193" s="1" t="s">
        <v>30</v>
      </c>
      <c r="E193" s="1" t="s">
        <v>24</v>
      </c>
      <c r="F193" s="2">
        <v>48364</v>
      </c>
      <c r="G193" s="1" t="s">
        <v>28</v>
      </c>
      <c r="H193" s="1" t="s">
        <v>193</v>
      </c>
      <c r="I193" s="1" t="str">
        <f t="shared" si="131"/>
        <v>Nov-2024</v>
      </c>
      <c r="J193" s="1">
        <v>4</v>
      </c>
    </row>
    <row r="194" spans="1:10" x14ac:dyDescent="0.3">
      <c r="A194" s="1">
        <v>915080</v>
      </c>
      <c r="B194" s="1" t="e">
        <f t="shared" ref="B194:B257" si="195">IF(#REF!&lt;500000,"Low Income",
IF(#REF!&lt;=1000000,"Middle Income",
"High Income"))</f>
        <v>#REF!</v>
      </c>
      <c r="C194" s="1" t="s">
        <v>39</v>
      </c>
      <c r="D194" s="1" t="s">
        <v>11</v>
      </c>
      <c r="E194" s="1" t="s">
        <v>36</v>
      </c>
      <c r="F194" s="2">
        <v>23654</v>
      </c>
      <c r="G194" s="1" t="s">
        <v>21</v>
      </c>
      <c r="H194" s="1" t="s">
        <v>194</v>
      </c>
      <c r="I194" s="1" t="str">
        <f t="shared" ref="I194:I257" si="196">TEXT(H194,"mmm-yyy")</f>
        <v>Jan-2023</v>
      </c>
      <c r="J194" s="1">
        <v>5</v>
      </c>
    </row>
    <row r="195" spans="1:10" x14ac:dyDescent="0.3">
      <c r="A195" s="1">
        <v>679795</v>
      </c>
      <c r="B195" s="1" t="e">
        <f t="shared" ref="B195:B258" si="197">IF(#REF!&lt;500000,"Low Income",
IF(#REF!&lt;=1000000,"Middle Income",
"High Income"))</f>
        <v>#REF!</v>
      </c>
      <c r="C195" s="1" t="s">
        <v>19</v>
      </c>
      <c r="D195" s="1" t="s">
        <v>11</v>
      </c>
      <c r="E195" s="1" t="s">
        <v>27</v>
      </c>
      <c r="F195" s="2">
        <v>886</v>
      </c>
      <c r="G195" s="1" t="s">
        <v>13</v>
      </c>
      <c r="H195" s="1" t="s">
        <v>195</v>
      </c>
      <c r="I195" s="1" t="str">
        <f t="shared" si="196"/>
        <v>May-2023</v>
      </c>
      <c r="J195" s="1">
        <v>5</v>
      </c>
    </row>
    <row r="196" spans="1:10" x14ac:dyDescent="0.3">
      <c r="A196" s="1">
        <v>1336777</v>
      </c>
      <c r="B196" s="1" t="e">
        <f t="shared" ref="B196:B259" si="198">IF(#REF!&lt;500000,"Low Income",
IF(#REF!&lt;=1000000,"Middle Income",
"High Income"))</f>
        <v>#REF!</v>
      </c>
      <c r="C196" s="1" t="s">
        <v>23</v>
      </c>
      <c r="D196" s="1" t="s">
        <v>11</v>
      </c>
      <c r="E196" s="1" t="s">
        <v>20</v>
      </c>
      <c r="F196" s="2">
        <v>43301</v>
      </c>
      <c r="G196" s="1" t="s">
        <v>28</v>
      </c>
      <c r="H196" s="1" t="s">
        <v>196</v>
      </c>
      <c r="I196" s="1" t="str">
        <f t="shared" si="196"/>
        <v>Apr-2023</v>
      </c>
      <c r="J196" s="1">
        <v>3</v>
      </c>
    </row>
    <row r="197" spans="1:10" x14ac:dyDescent="0.3">
      <c r="A197" s="1">
        <v>1172720</v>
      </c>
      <c r="B197" s="1" t="e">
        <f t="shared" ref="B197:B260" si="199">IF(#REF!&lt;500000,"Low Income",
IF(#REF!&lt;=1000000,"Middle Income",
"High Income"))</f>
        <v>#REF!</v>
      </c>
      <c r="C197" s="1" t="s">
        <v>10</v>
      </c>
      <c r="D197" s="1" t="s">
        <v>30</v>
      </c>
      <c r="E197" s="1" t="s">
        <v>36</v>
      </c>
      <c r="F197" s="2">
        <v>36954</v>
      </c>
      <c r="G197" s="1" t="s">
        <v>13</v>
      </c>
      <c r="H197" s="1" t="s">
        <v>197</v>
      </c>
      <c r="I197" s="1" t="str">
        <f t="shared" si="196"/>
        <v>Oct-2024</v>
      </c>
      <c r="J197" s="1">
        <v>5</v>
      </c>
    </row>
    <row r="198" spans="1:10" x14ac:dyDescent="0.3">
      <c r="A198" s="1">
        <v>366292</v>
      </c>
      <c r="B198" s="1" t="e">
        <f t="shared" ref="B198:B261" si="200">IF(#REF!&lt;500000,"Low Income",
IF(#REF!&lt;=1000000,"Middle Income",
"High Income"))</f>
        <v>#REF!</v>
      </c>
      <c r="C198" s="1" t="s">
        <v>32</v>
      </c>
      <c r="D198" s="1" t="s">
        <v>30</v>
      </c>
      <c r="E198" s="1" t="s">
        <v>27</v>
      </c>
      <c r="F198" s="2">
        <v>30387</v>
      </c>
      <c r="G198" s="1" t="s">
        <v>28</v>
      </c>
      <c r="H198" s="1" t="s">
        <v>198</v>
      </c>
      <c r="I198" s="1" t="str">
        <f t="shared" si="196"/>
        <v>Mar-2023</v>
      </c>
      <c r="J198" s="1">
        <v>4</v>
      </c>
    </row>
    <row r="199" spans="1:10" x14ac:dyDescent="0.3">
      <c r="A199" s="1">
        <v>708526</v>
      </c>
      <c r="B199" s="1" t="e">
        <f t="shared" ref="B199:B262" si="201">IF(#REF!&lt;500000,"Low Income",
IF(#REF!&lt;=1000000,"Middle Income",
"High Income"))</f>
        <v>#REF!</v>
      </c>
      <c r="C199" s="1" t="s">
        <v>15</v>
      </c>
      <c r="D199" s="1" t="s">
        <v>11</v>
      </c>
      <c r="E199" s="1" t="s">
        <v>27</v>
      </c>
      <c r="F199" s="2">
        <v>13132</v>
      </c>
      <c r="G199" s="1" t="s">
        <v>17</v>
      </c>
      <c r="H199" s="1" t="s">
        <v>199</v>
      </c>
      <c r="I199" s="1" t="str">
        <f t="shared" si="196"/>
        <v>Feb-2024</v>
      </c>
      <c r="J199" s="1">
        <v>2</v>
      </c>
    </row>
    <row r="200" spans="1:10" x14ac:dyDescent="0.3">
      <c r="A200" s="1">
        <v>373142</v>
      </c>
      <c r="B200" s="1" t="e">
        <f t="shared" ref="B200:B263" si="202">IF(#REF!&lt;500000,"Low Income",
IF(#REF!&lt;=1000000,"Middle Income",
"High Income"))</f>
        <v>#REF!</v>
      </c>
      <c r="C200" s="1" t="s">
        <v>10</v>
      </c>
      <c r="D200" s="1" t="s">
        <v>30</v>
      </c>
      <c r="E200" s="1" t="s">
        <v>36</v>
      </c>
      <c r="F200" s="2">
        <v>24079</v>
      </c>
      <c r="G200" s="1" t="s">
        <v>28</v>
      </c>
      <c r="H200" s="1" t="s">
        <v>200</v>
      </c>
      <c r="I200" s="1" t="str">
        <f t="shared" si="196"/>
        <v>Sep-2024</v>
      </c>
      <c r="J200" s="1">
        <v>4</v>
      </c>
    </row>
    <row r="201" spans="1:10" x14ac:dyDescent="0.3">
      <c r="A201" s="1">
        <v>1065812</v>
      </c>
      <c r="B201" s="1" t="e">
        <f t="shared" ref="B201:B264" si="203">IF(#REF!&lt;500000,"Low Income",
IF(#REF!&lt;=1000000,"Middle Income",
"High Income"))</f>
        <v>#REF!</v>
      </c>
      <c r="C201" s="1" t="s">
        <v>39</v>
      </c>
      <c r="D201" s="1" t="s">
        <v>30</v>
      </c>
      <c r="E201" s="1" t="s">
        <v>20</v>
      </c>
      <c r="F201" s="2">
        <v>37811</v>
      </c>
      <c r="G201" s="1" t="s">
        <v>13</v>
      </c>
      <c r="H201" s="1" t="s">
        <v>201</v>
      </c>
      <c r="I201" s="1" t="str">
        <f t="shared" si="196"/>
        <v>May-2024</v>
      </c>
      <c r="J201" s="1">
        <v>2</v>
      </c>
    </row>
    <row r="202" spans="1:10" x14ac:dyDescent="0.3">
      <c r="A202" s="1">
        <v>562373</v>
      </c>
      <c r="B202" s="1" t="e">
        <f t="shared" ref="B202:B265" si="204">IF(#REF!&lt;500000,"Low Income",
IF(#REF!&lt;=1000000,"Middle Income",
"High Income"))</f>
        <v>#REF!</v>
      </c>
      <c r="C202" s="1" t="s">
        <v>23</v>
      </c>
      <c r="D202" s="1" t="s">
        <v>30</v>
      </c>
      <c r="E202" s="1" t="s">
        <v>20</v>
      </c>
      <c r="F202" s="2">
        <v>33582</v>
      </c>
      <c r="G202" s="1" t="s">
        <v>21</v>
      </c>
      <c r="H202" s="1" t="s">
        <v>202</v>
      </c>
      <c r="I202" s="1" t="str">
        <f t="shared" si="196"/>
        <v>May-2024</v>
      </c>
      <c r="J202" s="1">
        <v>3</v>
      </c>
    </row>
    <row r="203" spans="1:10" x14ac:dyDescent="0.3">
      <c r="A203" s="1">
        <v>1340550</v>
      </c>
      <c r="B203" s="1" t="e">
        <f t="shared" ref="B203:B266" si="205">IF(#REF!&lt;500000,"Low Income",
IF(#REF!&lt;=1000000,"Middle Income",
"High Income"))</f>
        <v>#REF!</v>
      </c>
      <c r="C203" s="1" t="s">
        <v>34</v>
      </c>
      <c r="D203" s="1" t="s">
        <v>30</v>
      </c>
      <c r="E203" s="1" t="s">
        <v>20</v>
      </c>
      <c r="F203" s="2">
        <v>30961</v>
      </c>
      <c r="G203" s="1" t="s">
        <v>28</v>
      </c>
      <c r="H203" s="1" t="s">
        <v>203</v>
      </c>
      <c r="I203" s="1" t="str">
        <f t="shared" si="196"/>
        <v>Mar-2023</v>
      </c>
      <c r="J203" s="1">
        <v>4</v>
      </c>
    </row>
    <row r="204" spans="1:10" x14ac:dyDescent="0.3">
      <c r="A204" s="1">
        <v>806775</v>
      </c>
      <c r="B204" s="1" t="e">
        <f t="shared" ref="B204:B267" si="206">IF(#REF!&lt;500000,"Low Income",
IF(#REF!&lt;=1000000,"Middle Income",
"High Income"))</f>
        <v>#REF!</v>
      </c>
      <c r="C204" s="1" t="s">
        <v>39</v>
      </c>
      <c r="D204" s="1" t="s">
        <v>11</v>
      </c>
      <c r="E204" s="1" t="s">
        <v>16</v>
      </c>
      <c r="F204" s="2">
        <v>1217</v>
      </c>
      <c r="G204" s="1" t="s">
        <v>13</v>
      </c>
      <c r="H204" s="1" t="s">
        <v>204</v>
      </c>
      <c r="I204" s="1" t="str">
        <f t="shared" si="196"/>
        <v>Sep-2024</v>
      </c>
      <c r="J204" s="1">
        <v>2</v>
      </c>
    </row>
    <row r="205" spans="1:10" x14ac:dyDescent="0.3">
      <c r="A205" s="1">
        <v>732661</v>
      </c>
      <c r="B205" s="1" t="e">
        <f t="shared" ref="B205:B268" si="207">IF(#REF!&lt;500000,"Low Income",
IF(#REF!&lt;=1000000,"Middle Income",
"High Income"))</f>
        <v>#REF!</v>
      </c>
      <c r="C205" s="1" t="s">
        <v>23</v>
      </c>
      <c r="D205" s="1" t="s">
        <v>30</v>
      </c>
      <c r="E205" s="1" t="s">
        <v>16</v>
      </c>
      <c r="F205" s="2">
        <v>38549</v>
      </c>
      <c r="G205" s="1" t="s">
        <v>17</v>
      </c>
      <c r="H205" s="1" t="s">
        <v>124</v>
      </c>
      <c r="I205" s="1" t="str">
        <f t="shared" si="196"/>
        <v>May-2024</v>
      </c>
      <c r="J205" s="1">
        <v>5</v>
      </c>
    </row>
    <row r="206" spans="1:10" x14ac:dyDescent="0.3">
      <c r="A206" s="1">
        <v>1202994</v>
      </c>
      <c r="B206" s="1" t="e">
        <f t="shared" ref="B206:B269" si="208">IF(#REF!&lt;500000,"Low Income",
IF(#REF!&lt;=1000000,"Middle Income",
"High Income"))</f>
        <v>#REF!</v>
      </c>
      <c r="C206" s="1" t="s">
        <v>15</v>
      </c>
      <c r="D206" s="1" t="s">
        <v>11</v>
      </c>
      <c r="E206" s="1" t="s">
        <v>16</v>
      </c>
      <c r="F206" s="2">
        <v>24105</v>
      </c>
      <c r="G206" s="1" t="s">
        <v>13</v>
      </c>
      <c r="H206" s="1" t="s">
        <v>205</v>
      </c>
      <c r="I206" s="1" t="str">
        <f t="shared" si="196"/>
        <v>Jul-2023</v>
      </c>
      <c r="J206" s="1">
        <v>5</v>
      </c>
    </row>
    <row r="207" spans="1:10" x14ac:dyDescent="0.3">
      <c r="A207" s="1">
        <v>1086720</v>
      </c>
      <c r="B207" s="1" t="e">
        <f t="shared" ref="B207:B270" si="209">IF(#REF!&lt;500000,"Low Income",
IF(#REF!&lt;=1000000,"Middle Income",
"High Income"))</f>
        <v>#REF!</v>
      </c>
      <c r="C207" s="1" t="s">
        <v>23</v>
      </c>
      <c r="D207" s="1" t="s">
        <v>11</v>
      </c>
      <c r="E207" s="1" t="s">
        <v>27</v>
      </c>
      <c r="F207" s="2">
        <v>14544</v>
      </c>
      <c r="G207" s="1" t="s">
        <v>17</v>
      </c>
      <c r="H207" s="1" t="s">
        <v>206</v>
      </c>
      <c r="I207" s="1" t="str">
        <f t="shared" si="196"/>
        <v>Nov-2023</v>
      </c>
      <c r="J207" s="1">
        <v>3</v>
      </c>
    </row>
    <row r="208" spans="1:10" x14ac:dyDescent="0.3">
      <c r="A208" s="1">
        <v>1028452</v>
      </c>
      <c r="B208" s="1" t="e">
        <f t="shared" ref="B208:B271" si="210">IF(#REF!&lt;500000,"Low Income",
IF(#REF!&lt;=1000000,"Middle Income",
"High Income"))</f>
        <v>#REF!</v>
      </c>
      <c r="C208" s="1" t="s">
        <v>15</v>
      </c>
      <c r="D208" s="1" t="s">
        <v>30</v>
      </c>
      <c r="E208" s="1" t="s">
        <v>24</v>
      </c>
      <c r="F208" s="2">
        <v>39850</v>
      </c>
      <c r="G208" s="1" t="s">
        <v>21</v>
      </c>
      <c r="H208" s="1" t="s">
        <v>207</v>
      </c>
      <c r="I208" s="1" t="str">
        <f t="shared" si="196"/>
        <v>Jan-2023</v>
      </c>
      <c r="J208" s="1">
        <v>5</v>
      </c>
    </row>
    <row r="209" spans="1:10" x14ac:dyDescent="0.3">
      <c r="A209" s="1">
        <v>494637</v>
      </c>
      <c r="B209" s="1" t="e">
        <f t="shared" ref="B209:B272" si="211">IF(#REF!&lt;500000,"Low Income",
IF(#REF!&lt;=1000000,"Middle Income",
"High Income"))</f>
        <v>#REF!</v>
      </c>
      <c r="C209" s="1" t="s">
        <v>34</v>
      </c>
      <c r="D209" s="1" t="s">
        <v>30</v>
      </c>
      <c r="E209" s="1" t="s">
        <v>36</v>
      </c>
      <c r="F209" s="2">
        <v>34164</v>
      </c>
      <c r="G209" s="1" t="s">
        <v>17</v>
      </c>
      <c r="H209" s="1" t="s">
        <v>208</v>
      </c>
      <c r="I209" s="1" t="str">
        <f t="shared" si="196"/>
        <v>May-2024</v>
      </c>
      <c r="J209" s="1">
        <v>2</v>
      </c>
    </row>
    <row r="210" spans="1:10" x14ac:dyDescent="0.3">
      <c r="A210" s="1">
        <v>566997</v>
      </c>
      <c r="B210" s="1" t="e">
        <f t="shared" ref="B210:B273" si="212">IF(#REF!&lt;500000,"Low Income",
IF(#REF!&lt;=1000000,"Middle Income",
"High Income"))</f>
        <v>#REF!</v>
      </c>
      <c r="C210" s="1" t="s">
        <v>19</v>
      </c>
      <c r="D210" s="1" t="s">
        <v>30</v>
      </c>
      <c r="E210" s="1" t="s">
        <v>16</v>
      </c>
      <c r="F210" s="2">
        <v>49798</v>
      </c>
      <c r="G210" s="1" t="s">
        <v>21</v>
      </c>
      <c r="H210" s="1" t="s">
        <v>209</v>
      </c>
      <c r="I210" s="1" t="str">
        <f t="shared" si="196"/>
        <v>May-2023</v>
      </c>
      <c r="J210" s="1">
        <v>3</v>
      </c>
    </row>
    <row r="211" spans="1:10" x14ac:dyDescent="0.3">
      <c r="A211" s="1">
        <v>1071679</v>
      </c>
      <c r="B211" s="1" t="e">
        <f t="shared" ref="B211:B274" si="213">IF(#REF!&lt;500000,"Low Income",
IF(#REF!&lt;=1000000,"Middle Income",
"High Income"))</f>
        <v>#REF!</v>
      </c>
      <c r="C211" s="1" t="s">
        <v>19</v>
      </c>
      <c r="D211" s="1" t="s">
        <v>11</v>
      </c>
      <c r="E211" s="1" t="s">
        <v>12</v>
      </c>
      <c r="F211" s="2">
        <v>36019</v>
      </c>
      <c r="G211" s="1" t="s">
        <v>21</v>
      </c>
      <c r="H211" s="1" t="s">
        <v>210</v>
      </c>
      <c r="I211" s="1" t="str">
        <f t="shared" si="196"/>
        <v>May-2024</v>
      </c>
      <c r="J211" s="1">
        <v>4</v>
      </c>
    </row>
    <row r="212" spans="1:10" x14ac:dyDescent="0.3">
      <c r="A212" s="1">
        <v>470937</v>
      </c>
      <c r="B212" s="1" t="e">
        <f t="shared" ref="B212:B275" si="214">IF(#REF!&lt;500000,"Low Income",
IF(#REF!&lt;=1000000,"Middle Income",
"High Income"))</f>
        <v>#REF!</v>
      </c>
      <c r="C212" s="1" t="s">
        <v>19</v>
      </c>
      <c r="D212" s="1" t="s">
        <v>11</v>
      </c>
      <c r="E212" s="1" t="s">
        <v>24</v>
      </c>
      <c r="F212" s="2">
        <v>39860</v>
      </c>
      <c r="G212" s="1" t="s">
        <v>17</v>
      </c>
      <c r="H212" s="1" t="s">
        <v>211</v>
      </c>
      <c r="I212" s="1" t="str">
        <f t="shared" si="196"/>
        <v>Mar-2024</v>
      </c>
      <c r="J212" s="1">
        <v>5</v>
      </c>
    </row>
    <row r="213" spans="1:10" x14ac:dyDescent="0.3">
      <c r="A213" s="1">
        <v>1467298</v>
      </c>
      <c r="B213" s="1" t="e">
        <f t="shared" ref="B213:B276" si="215">IF(#REF!&lt;500000,"Low Income",
IF(#REF!&lt;=1000000,"Middle Income",
"High Income"))</f>
        <v>#REF!</v>
      </c>
      <c r="C213" s="1" t="s">
        <v>32</v>
      </c>
      <c r="D213" s="1" t="s">
        <v>30</v>
      </c>
      <c r="E213" s="1" t="s">
        <v>12</v>
      </c>
      <c r="F213" s="2">
        <v>33957</v>
      </c>
      <c r="G213" s="1" t="s">
        <v>28</v>
      </c>
      <c r="H213" s="1" t="s">
        <v>212</v>
      </c>
      <c r="I213" s="1" t="str">
        <f t="shared" si="196"/>
        <v>Feb-2024</v>
      </c>
      <c r="J213" s="1">
        <v>5</v>
      </c>
    </row>
    <row r="214" spans="1:10" x14ac:dyDescent="0.3">
      <c r="A214" s="1">
        <v>264049</v>
      </c>
      <c r="B214" s="1" t="e">
        <f t="shared" ref="B214:B277" si="216">IF(#REF!&lt;500000,"Low Income",
IF(#REF!&lt;=1000000,"Middle Income",
"High Income"))</f>
        <v>#REF!</v>
      </c>
      <c r="C214" s="1" t="s">
        <v>39</v>
      </c>
      <c r="D214" s="1" t="s">
        <v>11</v>
      </c>
      <c r="E214" s="1" t="s">
        <v>12</v>
      </c>
      <c r="F214" s="2">
        <v>34358</v>
      </c>
      <c r="G214" s="1" t="s">
        <v>13</v>
      </c>
      <c r="H214" s="1" t="s">
        <v>213</v>
      </c>
      <c r="I214" s="1" t="str">
        <f t="shared" si="196"/>
        <v>Oct-2024</v>
      </c>
      <c r="J214" s="1">
        <v>2</v>
      </c>
    </row>
    <row r="215" spans="1:10" x14ac:dyDescent="0.3">
      <c r="A215" s="1">
        <v>623984</v>
      </c>
      <c r="B215" s="1" t="e">
        <f t="shared" ref="B215:B278" si="217">IF(#REF!&lt;500000,"Low Income",
IF(#REF!&lt;=1000000,"Middle Income",
"High Income"))</f>
        <v>#REF!</v>
      </c>
      <c r="C215" s="1" t="s">
        <v>10</v>
      </c>
      <c r="D215" s="1" t="s">
        <v>30</v>
      </c>
      <c r="E215" s="1" t="s">
        <v>27</v>
      </c>
      <c r="F215" s="2">
        <v>6641</v>
      </c>
      <c r="G215" s="1" t="s">
        <v>13</v>
      </c>
      <c r="H215" s="1" t="s">
        <v>214</v>
      </c>
      <c r="I215" s="1" t="str">
        <f t="shared" si="196"/>
        <v>Apr-2024</v>
      </c>
      <c r="J215" s="1">
        <v>3</v>
      </c>
    </row>
    <row r="216" spans="1:10" x14ac:dyDescent="0.3">
      <c r="A216" s="1">
        <v>475695</v>
      </c>
      <c r="B216" s="1" t="e">
        <f t="shared" ref="B216:B279" si="218">IF(#REF!&lt;500000,"Low Income",
IF(#REF!&lt;=1000000,"Middle Income",
"High Income"))</f>
        <v>#REF!</v>
      </c>
      <c r="C216" s="1" t="s">
        <v>39</v>
      </c>
      <c r="D216" s="1" t="s">
        <v>30</v>
      </c>
      <c r="E216" s="1" t="s">
        <v>20</v>
      </c>
      <c r="F216" s="2">
        <v>40208</v>
      </c>
      <c r="G216" s="1" t="s">
        <v>21</v>
      </c>
      <c r="H216" s="1" t="s">
        <v>135</v>
      </c>
      <c r="I216" s="1" t="str">
        <f t="shared" si="196"/>
        <v>Apr-2024</v>
      </c>
      <c r="J216" s="1">
        <v>5</v>
      </c>
    </row>
    <row r="217" spans="1:10" x14ac:dyDescent="0.3">
      <c r="A217" s="1">
        <v>1468731</v>
      </c>
      <c r="B217" s="1" t="e">
        <f t="shared" ref="B217:B280" si="219">IF(#REF!&lt;500000,"Low Income",
IF(#REF!&lt;=1000000,"Middle Income",
"High Income"))</f>
        <v>#REF!</v>
      </c>
      <c r="C217" s="1" t="s">
        <v>39</v>
      </c>
      <c r="D217" s="1" t="s">
        <v>11</v>
      </c>
      <c r="E217" s="1" t="s">
        <v>12</v>
      </c>
      <c r="F217" s="2">
        <v>12035</v>
      </c>
      <c r="G217" s="1" t="s">
        <v>17</v>
      </c>
      <c r="H217" s="1" t="s">
        <v>215</v>
      </c>
      <c r="I217" s="1" t="str">
        <f t="shared" si="196"/>
        <v>Jan-2024</v>
      </c>
      <c r="J217" s="1">
        <v>5</v>
      </c>
    </row>
    <row r="218" spans="1:10" x14ac:dyDescent="0.3">
      <c r="A218" s="1">
        <v>662821</v>
      </c>
      <c r="B218" s="1" t="e">
        <f t="shared" ref="B218:B281" si="220">IF(#REF!&lt;500000,"Low Income",
IF(#REF!&lt;=1000000,"Middle Income",
"High Income"))</f>
        <v>#REF!</v>
      </c>
      <c r="C218" s="1" t="s">
        <v>32</v>
      </c>
      <c r="D218" s="1" t="s">
        <v>11</v>
      </c>
      <c r="E218" s="1" t="s">
        <v>36</v>
      </c>
      <c r="F218" s="2">
        <v>37499</v>
      </c>
      <c r="G218" s="1" t="s">
        <v>21</v>
      </c>
      <c r="H218" s="1" t="s">
        <v>96</v>
      </c>
      <c r="I218" s="1" t="str">
        <f t="shared" si="196"/>
        <v>May-2024</v>
      </c>
      <c r="J218" s="1">
        <v>3</v>
      </c>
    </row>
    <row r="219" spans="1:10" x14ac:dyDescent="0.3">
      <c r="A219" s="1">
        <v>502677</v>
      </c>
      <c r="B219" s="1" t="e">
        <f t="shared" ref="B219:B282" si="221">IF(#REF!&lt;500000,"Low Income",
IF(#REF!&lt;=1000000,"Middle Income",
"High Income"))</f>
        <v>#REF!</v>
      </c>
      <c r="C219" s="1" t="s">
        <v>34</v>
      </c>
      <c r="D219" s="1" t="s">
        <v>30</v>
      </c>
      <c r="E219" s="1" t="s">
        <v>36</v>
      </c>
      <c r="F219" s="2">
        <v>40829</v>
      </c>
      <c r="G219" s="1" t="s">
        <v>28</v>
      </c>
      <c r="H219" s="1" t="s">
        <v>191</v>
      </c>
      <c r="I219" s="1" t="str">
        <f t="shared" si="196"/>
        <v>Jun-2023</v>
      </c>
      <c r="J219" s="1">
        <v>4</v>
      </c>
    </row>
    <row r="220" spans="1:10" x14ac:dyDescent="0.3">
      <c r="A220" s="1">
        <v>391315</v>
      </c>
      <c r="B220" s="1" t="e">
        <f t="shared" ref="B220:B283" si="222">IF(#REF!&lt;500000,"Low Income",
IF(#REF!&lt;=1000000,"Middle Income",
"High Income"))</f>
        <v>#REF!</v>
      </c>
      <c r="C220" s="1" t="s">
        <v>23</v>
      </c>
      <c r="D220" s="1" t="s">
        <v>30</v>
      </c>
      <c r="E220" s="1" t="s">
        <v>27</v>
      </c>
      <c r="F220" s="2">
        <v>6895</v>
      </c>
      <c r="G220" s="1" t="s">
        <v>13</v>
      </c>
      <c r="H220" s="1" t="s">
        <v>153</v>
      </c>
      <c r="I220" s="1" t="str">
        <f t="shared" si="196"/>
        <v>Apr-2024</v>
      </c>
      <c r="J220" s="1">
        <v>3</v>
      </c>
    </row>
    <row r="221" spans="1:10" x14ac:dyDescent="0.3">
      <c r="A221" s="1">
        <v>777222</v>
      </c>
      <c r="B221" s="1" t="e">
        <f t="shared" ref="B221:B284" si="223">IF(#REF!&lt;500000,"Low Income",
IF(#REF!&lt;=1000000,"Middle Income",
"High Income"))</f>
        <v>#REF!</v>
      </c>
      <c r="C221" s="1" t="s">
        <v>34</v>
      </c>
      <c r="D221" s="1" t="s">
        <v>11</v>
      </c>
      <c r="E221" s="1" t="s">
        <v>36</v>
      </c>
      <c r="F221" s="2">
        <v>15276</v>
      </c>
      <c r="G221" s="1" t="s">
        <v>28</v>
      </c>
      <c r="H221" s="1" t="s">
        <v>216</v>
      </c>
      <c r="I221" s="1" t="str">
        <f t="shared" si="196"/>
        <v>Nov-2024</v>
      </c>
      <c r="J221" s="1">
        <v>2</v>
      </c>
    </row>
    <row r="222" spans="1:10" x14ac:dyDescent="0.3">
      <c r="A222" s="1">
        <v>350513</v>
      </c>
      <c r="B222" s="1" t="e">
        <f t="shared" ref="B222:B285" si="224">IF(#REF!&lt;500000,"Low Income",
IF(#REF!&lt;=1000000,"Middle Income",
"High Income"))</f>
        <v>#REF!</v>
      </c>
      <c r="C222" s="1" t="s">
        <v>32</v>
      </c>
      <c r="D222" s="1" t="s">
        <v>30</v>
      </c>
      <c r="E222" s="1" t="s">
        <v>27</v>
      </c>
      <c r="F222" s="2">
        <v>35900</v>
      </c>
      <c r="G222" s="1" t="s">
        <v>13</v>
      </c>
      <c r="H222" s="1" t="s">
        <v>190</v>
      </c>
      <c r="I222" s="1" t="str">
        <f t="shared" si="196"/>
        <v>Oct-2023</v>
      </c>
      <c r="J222" s="1">
        <v>4</v>
      </c>
    </row>
    <row r="223" spans="1:10" x14ac:dyDescent="0.3">
      <c r="A223" s="1">
        <v>765353</v>
      </c>
      <c r="B223" s="1" t="e">
        <f t="shared" ref="B223:B286" si="225">IF(#REF!&lt;500000,"Low Income",
IF(#REF!&lt;=1000000,"Middle Income",
"High Income"))</f>
        <v>#REF!</v>
      </c>
      <c r="C223" s="1" t="s">
        <v>15</v>
      </c>
      <c r="D223" s="1" t="s">
        <v>11</v>
      </c>
      <c r="E223" s="1" t="s">
        <v>36</v>
      </c>
      <c r="F223" s="2">
        <v>18186</v>
      </c>
      <c r="G223" s="1" t="s">
        <v>21</v>
      </c>
      <c r="H223" s="1" t="s">
        <v>52</v>
      </c>
      <c r="I223" s="1" t="str">
        <f t="shared" si="196"/>
        <v>Nov-2023</v>
      </c>
      <c r="J223" s="1">
        <v>4</v>
      </c>
    </row>
    <row r="224" spans="1:10" x14ac:dyDescent="0.3">
      <c r="A224" s="1">
        <v>586750</v>
      </c>
      <c r="B224" s="1" t="e">
        <f t="shared" ref="B224:B287" si="226">IF(#REF!&lt;500000,"Low Income",
IF(#REF!&lt;=1000000,"Middle Income",
"High Income"))</f>
        <v>#REF!</v>
      </c>
      <c r="C224" s="1" t="s">
        <v>34</v>
      </c>
      <c r="D224" s="1" t="s">
        <v>11</v>
      </c>
      <c r="E224" s="1" t="s">
        <v>16</v>
      </c>
      <c r="F224" s="2">
        <v>3767</v>
      </c>
      <c r="G224" s="1" t="s">
        <v>21</v>
      </c>
      <c r="H224" s="1" t="s">
        <v>217</v>
      </c>
      <c r="I224" s="1" t="str">
        <f t="shared" si="196"/>
        <v>Aug-2024</v>
      </c>
      <c r="J224" s="1">
        <v>5</v>
      </c>
    </row>
    <row r="225" spans="1:10" x14ac:dyDescent="0.3">
      <c r="A225" s="1">
        <v>1099409</v>
      </c>
      <c r="B225" s="1" t="e">
        <f t="shared" ref="B225:B288" si="227">IF(#REF!&lt;500000,"Low Income",
IF(#REF!&lt;=1000000,"Middle Income",
"High Income"))</f>
        <v>#REF!</v>
      </c>
      <c r="C225" s="1" t="s">
        <v>10</v>
      </c>
      <c r="D225" s="1" t="s">
        <v>11</v>
      </c>
      <c r="E225" s="1" t="s">
        <v>20</v>
      </c>
      <c r="F225" s="2">
        <v>22003</v>
      </c>
      <c r="G225" s="1" t="s">
        <v>17</v>
      </c>
      <c r="H225" s="1" t="s">
        <v>218</v>
      </c>
      <c r="I225" s="1" t="str">
        <f t="shared" si="196"/>
        <v>May-2024</v>
      </c>
      <c r="J225" s="1">
        <v>3</v>
      </c>
    </row>
    <row r="226" spans="1:10" x14ac:dyDescent="0.3">
      <c r="A226" s="1">
        <v>555918</v>
      </c>
      <c r="B226" s="1" t="e">
        <f t="shared" ref="B226:B289" si="228">IF(#REF!&lt;500000,"Low Income",
IF(#REF!&lt;=1000000,"Middle Income",
"High Income"))</f>
        <v>#REF!</v>
      </c>
      <c r="C226" s="1" t="s">
        <v>10</v>
      </c>
      <c r="D226" s="1" t="s">
        <v>30</v>
      </c>
      <c r="E226" s="1" t="s">
        <v>16</v>
      </c>
      <c r="F226" s="2">
        <v>39095</v>
      </c>
      <c r="G226" s="1" t="s">
        <v>17</v>
      </c>
      <c r="H226" s="1" t="s">
        <v>200</v>
      </c>
      <c r="I226" s="1" t="str">
        <f t="shared" si="196"/>
        <v>Sep-2024</v>
      </c>
      <c r="J226" s="1">
        <v>5</v>
      </c>
    </row>
    <row r="227" spans="1:10" x14ac:dyDescent="0.3">
      <c r="A227" s="1">
        <v>1285348</v>
      </c>
      <c r="B227" s="1" t="e">
        <f t="shared" ref="B227:B290" si="229">IF(#REF!&lt;500000,"Low Income",
IF(#REF!&lt;=1000000,"Middle Income",
"High Income"))</f>
        <v>#REF!</v>
      </c>
      <c r="C227" s="1" t="s">
        <v>19</v>
      </c>
      <c r="D227" s="1" t="s">
        <v>30</v>
      </c>
      <c r="E227" s="1" t="s">
        <v>46</v>
      </c>
      <c r="F227" s="2">
        <v>24020</v>
      </c>
      <c r="G227" s="1" t="s">
        <v>13</v>
      </c>
      <c r="H227" s="1" t="s">
        <v>152</v>
      </c>
      <c r="I227" s="1" t="str">
        <f t="shared" si="196"/>
        <v>Aug-2024</v>
      </c>
      <c r="J227" s="1">
        <v>3</v>
      </c>
    </row>
    <row r="228" spans="1:10" x14ac:dyDescent="0.3">
      <c r="A228" s="1">
        <v>895382</v>
      </c>
      <c r="B228" s="1" t="e">
        <f t="shared" ref="B228:B291" si="230">IF(#REF!&lt;500000,"Low Income",
IF(#REF!&lt;=1000000,"Middle Income",
"High Income"))</f>
        <v>#REF!</v>
      </c>
      <c r="C228" s="1" t="s">
        <v>19</v>
      </c>
      <c r="D228" s="1" t="s">
        <v>30</v>
      </c>
      <c r="E228" s="1" t="s">
        <v>27</v>
      </c>
      <c r="F228" s="2">
        <v>44421</v>
      </c>
      <c r="G228" s="1" t="s">
        <v>13</v>
      </c>
      <c r="H228" s="1" t="s">
        <v>219</v>
      </c>
      <c r="I228" s="1" t="str">
        <f t="shared" si="196"/>
        <v>Sep-2024</v>
      </c>
      <c r="J228" s="1">
        <v>3</v>
      </c>
    </row>
    <row r="229" spans="1:10" x14ac:dyDescent="0.3">
      <c r="A229" s="1">
        <v>939805</v>
      </c>
      <c r="B229" s="1" t="e">
        <f t="shared" ref="B229:B292" si="231">IF(#REF!&lt;500000,"Low Income",
IF(#REF!&lt;=1000000,"Middle Income",
"High Income"))</f>
        <v>#REF!</v>
      </c>
      <c r="C229" s="1" t="s">
        <v>19</v>
      </c>
      <c r="D229" s="1" t="s">
        <v>30</v>
      </c>
      <c r="E229" s="1" t="s">
        <v>27</v>
      </c>
      <c r="F229" s="2">
        <v>13021</v>
      </c>
      <c r="G229" s="1" t="s">
        <v>21</v>
      </c>
      <c r="H229" s="1" t="s">
        <v>220</v>
      </c>
      <c r="I229" s="1" t="str">
        <f t="shared" si="196"/>
        <v>Aug-2023</v>
      </c>
      <c r="J229" s="1">
        <v>3</v>
      </c>
    </row>
    <row r="230" spans="1:10" x14ac:dyDescent="0.3">
      <c r="A230" s="1">
        <v>865499</v>
      </c>
      <c r="B230" s="1" t="e">
        <f t="shared" ref="B230:B293" si="232">IF(#REF!&lt;500000,"Low Income",
IF(#REF!&lt;=1000000,"Middle Income",
"High Income"))</f>
        <v>#REF!</v>
      </c>
      <c r="C230" s="1" t="s">
        <v>34</v>
      </c>
      <c r="D230" s="1" t="s">
        <v>11</v>
      </c>
      <c r="E230" s="1" t="s">
        <v>16</v>
      </c>
      <c r="F230" s="2">
        <v>25287</v>
      </c>
      <c r="G230" s="1" t="s">
        <v>17</v>
      </c>
      <c r="H230" s="1" t="s">
        <v>89</v>
      </c>
      <c r="I230" s="1" t="str">
        <f t="shared" si="196"/>
        <v>Aug-2023</v>
      </c>
      <c r="J230" s="1">
        <v>4</v>
      </c>
    </row>
    <row r="231" spans="1:10" x14ac:dyDescent="0.3">
      <c r="A231" s="1">
        <v>642468</v>
      </c>
      <c r="B231" s="1" t="e">
        <f t="shared" ref="B231:B294" si="233">IF(#REF!&lt;500000,"Low Income",
IF(#REF!&lt;=1000000,"Middle Income",
"High Income"))</f>
        <v>#REF!</v>
      </c>
      <c r="C231" s="1" t="s">
        <v>34</v>
      </c>
      <c r="D231" s="1" t="s">
        <v>11</v>
      </c>
      <c r="E231" s="1" t="s">
        <v>46</v>
      </c>
      <c r="F231" s="2">
        <v>24792</v>
      </c>
      <c r="G231" s="1" t="s">
        <v>21</v>
      </c>
      <c r="H231" s="1" t="s">
        <v>221</v>
      </c>
      <c r="I231" s="1" t="str">
        <f t="shared" si="196"/>
        <v>Jan-2023</v>
      </c>
      <c r="J231" s="1">
        <v>2</v>
      </c>
    </row>
    <row r="232" spans="1:10" x14ac:dyDescent="0.3">
      <c r="A232" s="1">
        <v>1080455</v>
      </c>
      <c r="B232" s="1" t="e">
        <f t="shared" ref="B232:B295" si="234">IF(#REF!&lt;500000,"Low Income",
IF(#REF!&lt;=1000000,"Middle Income",
"High Income"))</f>
        <v>#REF!</v>
      </c>
      <c r="C232" s="1" t="s">
        <v>19</v>
      </c>
      <c r="D232" s="1" t="s">
        <v>30</v>
      </c>
      <c r="E232" s="1" t="s">
        <v>12</v>
      </c>
      <c r="F232" s="2">
        <v>49564</v>
      </c>
      <c r="G232" s="1" t="s">
        <v>28</v>
      </c>
      <c r="H232" s="1" t="s">
        <v>222</v>
      </c>
      <c r="I232" s="1" t="str">
        <f t="shared" si="196"/>
        <v>Oct-2024</v>
      </c>
      <c r="J232" s="1">
        <v>2</v>
      </c>
    </row>
    <row r="233" spans="1:10" x14ac:dyDescent="0.3">
      <c r="A233" s="1">
        <v>430736</v>
      </c>
      <c r="B233" s="1" t="e">
        <f t="shared" ref="B233:B296" si="235">IF(#REF!&lt;500000,"Low Income",
IF(#REF!&lt;=1000000,"Middle Income",
"High Income"))</f>
        <v>#REF!</v>
      </c>
      <c r="C233" s="1" t="s">
        <v>23</v>
      </c>
      <c r="D233" s="1" t="s">
        <v>30</v>
      </c>
      <c r="E233" s="1" t="s">
        <v>24</v>
      </c>
      <c r="F233" s="2">
        <v>13634</v>
      </c>
      <c r="G233" s="1" t="s">
        <v>21</v>
      </c>
      <c r="H233" s="1" t="s">
        <v>223</v>
      </c>
      <c r="I233" s="1" t="str">
        <f t="shared" si="196"/>
        <v>Feb-2023</v>
      </c>
      <c r="J233" s="1">
        <v>5</v>
      </c>
    </row>
    <row r="234" spans="1:10" x14ac:dyDescent="0.3">
      <c r="A234" s="1">
        <v>685465</v>
      </c>
      <c r="B234" s="1" t="e">
        <f t="shared" ref="B234:B297" si="236">IF(#REF!&lt;500000,"Low Income",
IF(#REF!&lt;=1000000,"Middle Income",
"High Income"))</f>
        <v>#REF!</v>
      </c>
      <c r="C234" s="1" t="s">
        <v>39</v>
      </c>
      <c r="D234" s="1" t="s">
        <v>11</v>
      </c>
      <c r="E234" s="1" t="s">
        <v>24</v>
      </c>
      <c r="F234" s="2">
        <v>33833</v>
      </c>
      <c r="G234" s="1" t="s">
        <v>13</v>
      </c>
      <c r="H234" s="1" t="s">
        <v>199</v>
      </c>
      <c r="I234" s="1" t="str">
        <f t="shared" si="196"/>
        <v>Feb-2024</v>
      </c>
      <c r="J234" s="1">
        <v>5</v>
      </c>
    </row>
    <row r="235" spans="1:10" x14ac:dyDescent="0.3">
      <c r="A235" s="1">
        <v>454776</v>
      </c>
      <c r="B235" s="1" t="e">
        <f t="shared" ref="B235:B298" si="237">IF(#REF!&lt;500000,"Low Income",
IF(#REF!&lt;=1000000,"Middle Income",
"High Income"))</f>
        <v>#REF!</v>
      </c>
      <c r="C235" s="1" t="s">
        <v>34</v>
      </c>
      <c r="D235" s="1" t="s">
        <v>11</v>
      </c>
      <c r="E235" s="1" t="s">
        <v>12</v>
      </c>
      <c r="F235" s="2">
        <v>20492</v>
      </c>
      <c r="G235" s="1" t="s">
        <v>13</v>
      </c>
      <c r="H235" s="1" t="s">
        <v>82</v>
      </c>
      <c r="I235" s="1" t="str">
        <f t="shared" si="196"/>
        <v>Sep-2023</v>
      </c>
      <c r="J235" s="1">
        <v>3</v>
      </c>
    </row>
    <row r="236" spans="1:10" x14ac:dyDescent="0.3">
      <c r="A236" s="1">
        <v>1116706</v>
      </c>
      <c r="B236" s="1" t="e">
        <f t="shared" ref="B236:B299" si="238">IF(#REF!&lt;500000,"Low Income",
IF(#REF!&lt;=1000000,"Middle Income",
"High Income"))</f>
        <v>#REF!</v>
      </c>
      <c r="C236" s="1" t="s">
        <v>23</v>
      </c>
      <c r="D236" s="1" t="s">
        <v>30</v>
      </c>
      <c r="E236" s="1" t="s">
        <v>16</v>
      </c>
      <c r="F236" s="2">
        <v>31774</v>
      </c>
      <c r="G236" s="1" t="s">
        <v>13</v>
      </c>
      <c r="H236" s="1" t="s">
        <v>22</v>
      </c>
      <c r="I236" s="1" t="str">
        <f t="shared" si="196"/>
        <v>Dec-2024</v>
      </c>
      <c r="J236" s="1">
        <v>3</v>
      </c>
    </row>
    <row r="237" spans="1:10" x14ac:dyDescent="0.3">
      <c r="A237" s="1">
        <v>813343</v>
      </c>
      <c r="B237" s="1" t="e">
        <f t="shared" ref="B237:B300" si="239">IF(#REF!&lt;500000,"Low Income",
IF(#REF!&lt;=1000000,"Middle Income",
"High Income"))</f>
        <v>#REF!</v>
      </c>
      <c r="C237" s="1" t="s">
        <v>19</v>
      </c>
      <c r="D237" s="1" t="s">
        <v>11</v>
      </c>
      <c r="E237" s="1" t="s">
        <v>27</v>
      </c>
      <c r="F237" s="2">
        <v>25561</v>
      </c>
      <c r="G237" s="1" t="s">
        <v>17</v>
      </c>
      <c r="H237" s="1" t="s">
        <v>224</v>
      </c>
      <c r="I237" s="1" t="str">
        <f t="shared" si="196"/>
        <v>May-2024</v>
      </c>
      <c r="J237" s="1">
        <v>3</v>
      </c>
    </row>
    <row r="238" spans="1:10" x14ac:dyDescent="0.3">
      <c r="A238" s="1">
        <v>544878</v>
      </c>
      <c r="B238" s="1" t="e">
        <f t="shared" ref="B238:B301" si="240">IF(#REF!&lt;500000,"Low Income",
IF(#REF!&lt;=1000000,"Middle Income",
"High Income"))</f>
        <v>#REF!</v>
      </c>
      <c r="C238" s="1" t="s">
        <v>34</v>
      </c>
      <c r="D238" s="1" t="s">
        <v>11</v>
      </c>
      <c r="E238" s="1" t="s">
        <v>46</v>
      </c>
      <c r="F238" s="2">
        <v>49955</v>
      </c>
      <c r="G238" s="1" t="s">
        <v>21</v>
      </c>
      <c r="H238" s="1" t="s">
        <v>225</v>
      </c>
      <c r="I238" s="1" t="str">
        <f t="shared" si="196"/>
        <v>Oct-2023</v>
      </c>
      <c r="J238" s="1">
        <v>5</v>
      </c>
    </row>
    <row r="239" spans="1:10" x14ac:dyDescent="0.3">
      <c r="A239" s="1">
        <v>1106083</v>
      </c>
      <c r="B239" s="1" t="e">
        <f t="shared" ref="B239:B301" si="241">IF(#REF!&lt;500000,"Low Income",
IF(#REF!&lt;=1000000,"Middle Income",
"High Income"))</f>
        <v>#REF!</v>
      </c>
      <c r="C239" s="1" t="s">
        <v>10</v>
      </c>
      <c r="D239" s="1" t="s">
        <v>30</v>
      </c>
      <c r="E239" s="1" t="s">
        <v>24</v>
      </c>
      <c r="F239" s="2">
        <v>4638</v>
      </c>
      <c r="G239" s="1" t="s">
        <v>28</v>
      </c>
      <c r="H239" s="1" t="s">
        <v>226</v>
      </c>
      <c r="I239" s="1" t="str">
        <f t="shared" si="196"/>
        <v>Jul-2023</v>
      </c>
      <c r="J239" s="1">
        <v>2</v>
      </c>
    </row>
    <row r="240" spans="1:10" x14ac:dyDescent="0.3">
      <c r="A240" s="1">
        <v>1287955</v>
      </c>
      <c r="B240" s="1" t="e">
        <f t="shared" ref="B240:B301" si="242">IF(#REF!&lt;500000,"Low Income",
IF(#REF!&lt;=1000000,"Middle Income",
"High Income"))</f>
        <v>#REF!</v>
      </c>
      <c r="C240" s="1" t="s">
        <v>34</v>
      </c>
      <c r="D240" s="1" t="s">
        <v>30</v>
      </c>
      <c r="E240" s="1" t="s">
        <v>27</v>
      </c>
      <c r="F240" s="2">
        <v>1235</v>
      </c>
      <c r="G240" s="1" t="s">
        <v>21</v>
      </c>
      <c r="H240" s="1" t="s">
        <v>227</v>
      </c>
      <c r="I240" s="1" t="str">
        <f t="shared" si="196"/>
        <v>Nov-2023</v>
      </c>
      <c r="J240" s="1">
        <v>4</v>
      </c>
    </row>
    <row r="241" spans="1:10" x14ac:dyDescent="0.3">
      <c r="A241" s="1">
        <v>1176809</v>
      </c>
      <c r="B241" s="1" t="e">
        <f t="shared" ref="B241:B301" si="243">IF(#REF!&lt;500000,"Low Income",
IF(#REF!&lt;=1000000,"Middle Income",
"High Income"))</f>
        <v>#REF!</v>
      </c>
      <c r="C241" s="1" t="s">
        <v>19</v>
      </c>
      <c r="D241" s="1" t="s">
        <v>11</v>
      </c>
      <c r="E241" s="1" t="s">
        <v>12</v>
      </c>
      <c r="F241" s="2">
        <v>35131</v>
      </c>
      <c r="G241" s="1" t="s">
        <v>21</v>
      </c>
      <c r="H241" s="1" t="s">
        <v>149</v>
      </c>
      <c r="I241" s="1" t="str">
        <f t="shared" si="196"/>
        <v>Aug-2023</v>
      </c>
      <c r="J241" s="1">
        <v>4</v>
      </c>
    </row>
    <row r="242" spans="1:10" x14ac:dyDescent="0.3">
      <c r="A242" s="1">
        <v>320874</v>
      </c>
      <c r="B242" s="1" t="e">
        <f t="shared" ref="B242:B301" si="244">IF(#REF!&lt;500000,"Low Income",
IF(#REF!&lt;=1000000,"Middle Income",
"High Income"))</f>
        <v>#REF!</v>
      </c>
      <c r="C242" s="1" t="s">
        <v>15</v>
      </c>
      <c r="D242" s="1" t="s">
        <v>30</v>
      </c>
      <c r="E242" s="1" t="s">
        <v>36</v>
      </c>
      <c r="F242" s="2">
        <v>28282</v>
      </c>
      <c r="G242" s="1" t="s">
        <v>28</v>
      </c>
      <c r="H242" s="1" t="s">
        <v>228</v>
      </c>
      <c r="I242" s="1" t="str">
        <f t="shared" si="196"/>
        <v>Nov-2024</v>
      </c>
      <c r="J242" s="1">
        <v>5</v>
      </c>
    </row>
    <row r="243" spans="1:10" x14ac:dyDescent="0.3">
      <c r="A243" s="1">
        <v>682303</v>
      </c>
      <c r="B243" s="1" t="e">
        <f t="shared" ref="B243:B301" si="245">IF(#REF!&lt;500000,"Low Income",
IF(#REF!&lt;=1000000,"Middle Income",
"High Income"))</f>
        <v>#REF!</v>
      </c>
      <c r="C243" s="1" t="s">
        <v>19</v>
      </c>
      <c r="D243" s="1" t="s">
        <v>11</v>
      </c>
      <c r="E243" s="1" t="s">
        <v>12</v>
      </c>
      <c r="F243" s="2">
        <v>4387</v>
      </c>
      <c r="G243" s="1" t="s">
        <v>17</v>
      </c>
      <c r="H243" s="1" t="s">
        <v>63</v>
      </c>
      <c r="I243" s="1" t="str">
        <f t="shared" si="196"/>
        <v>Apr-2023</v>
      </c>
      <c r="J243" s="1">
        <v>4</v>
      </c>
    </row>
    <row r="244" spans="1:10" x14ac:dyDescent="0.3">
      <c r="A244" s="1">
        <v>738925</v>
      </c>
      <c r="B244" s="1" t="e">
        <f t="shared" ref="B244:B301" si="246">IF(#REF!&lt;500000,"Low Income",
IF(#REF!&lt;=1000000,"Middle Income",
"High Income"))</f>
        <v>#REF!</v>
      </c>
      <c r="C244" s="1" t="s">
        <v>32</v>
      </c>
      <c r="D244" s="1" t="s">
        <v>30</v>
      </c>
      <c r="E244" s="1" t="s">
        <v>24</v>
      </c>
      <c r="F244" s="2">
        <v>17927</v>
      </c>
      <c r="G244" s="1" t="s">
        <v>28</v>
      </c>
      <c r="H244" s="1" t="s">
        <v>139</v>
      </c>
      <c r="I244" s="1" t="str">
        <f t="shared" si="196"/>
        <v>May-2024</v>
      </c>
      <c r="J244" s="1">
        <v>5</v>
      </c>
    </row>
    <row r="245" spans="1:10" x14ac:dyDescent="0.3">
      <c r="A245" s="1">
        <v>1072842</v>
      </c>
      <c r="B245" s="1" t="e">
        <f t="shared" ref="B245:B301" si="247">IF(#REF!&lt;500000,"Low Income",
IF(#REF!&lt;=1000000,"Middle Income",
"High Income"))</f>
        <v>#REF!</v>
      </c>
      <c r="C245" s="1" t="s">
        <v>19</v>
      </c>
      <c r="D245" s="1" t="s">
        <v>11</v>
      </c>
      <c r="E245" s="1" t="s">
        <v>46</v>
      </c>
      <c r="F245" s="2">
        <v>37231</v>
      </c>
      <c r="G245" s="1" t="s">
        <v>13</v>
      </c>
      <c r="H245" s="1" t="s">
        <v>143</v>
      </c>
      <c r="I245" s="1" t="str">
        <f t="shared" si="196"/>
        <v>Jun-2023</v>
      </c>
      <c r="J245" s="1">
        <v>2</v>
      </c>
    </row>
    <row r="246" spans="1:10" x14ac:dyDescent="0.3">
      <c r="A246" s="1">
        <v>907799</v>
      </c>
      <c r="B246" s="1" t="e">
        <f t="shared" ref="B246:B301" si="248">IF(#REF!&lt;500000,"Low Income",
IF(#REF!&lt;=1000000,"Middle Income",
"High Income"))</f>
        <v>#REF!</v>
      </c>
      <c r="C246" s="1" t="s">
        <v>34</v>
      </c>
      <c r="D246" s="1" t="s">
        <v>30</v>
      </c>
      <c r="E246" s="1" t="s">
        <v>46</v>
      </c>
      <c r="F246" s="2">
        <v>22399</v>
      </c>
      <c r="G246" s="1" t="s">
        <v>17</v>
      </c>
      <c r="H246" s="1" t="s">
        <v>176</v>
      </c>
      <c r="I246" s="1" t="str">
        <f t="shared" si="196"/>
        <v>Aug-2023</v>
      </c>
      <c r="J246" s="1">
        <v>4</v>
      </c>
    </row>
    <row r="247" spans="1:10" x14ac:dyDescent="0.3">
      <c r="A247" s="1">
        <v>776082</v>
      </c>
      <c r="B247" s="1" t="e">
        <f t="shared" ref="B247:B301" si="249">IF(#REF!&lt;500000,"Low Income",
IF(#REF!&lt;=1000000,"Middle Income",
"High Income"))</f>
        <v>#REF!</v>
      </c>
      <c r="C247" s="1" t="s">
        <v>23</v>
      </c>
      <c r="D247" s="1" t="s">
        <v>11</v>
      </c>
      <c r="E247" s="1" t="s">
        <v>20</v>
      </c>
      <c r="F247" s="2">
        <v>12314</v>
      </c>
      <c r="G247" s="1" t="s">
        <v>13</v>
      </c>
      <c r="H247" s="1" t="s">
        <v>229</v>
      </c>
      <c r="I247" s="1" t="str">
        <f t="shared" si="196"/>
        <v>Apr-2024</v>
      </c>
      <c r="J247" s="1">
        <v>5</v>
      </c>
    </row>
    <row r="248" spans="1:10" x14ac:dyDescent="0.3">
      <c r="A248" s="1">
        <v>432566</v>
      </c>
      <c r="B248" s="1" t="e">
        <f t="shared" ref="B248:B301" si="250">IF(#REF!&lt;500000,"Low Income",
IF(#REF!&lt;=1000000,"Middle Income",
"High Income"))</f>
        <v>#REF!</v>
      </c>
      <c r="C248" s="1" t="s">
        <v>19</v>
      </c>
      <c r="D248" s="1" t="s">
        <v>30</v>
      </c>
      <c r="E248" s="1" t="s">
        <v>36</v>
      </c>
      <c r="F248" s="2">
        <v>43026</v>
      </c>
      <c r="G248" s="1" t="s">
        <v>13</v>
      </c>
      <c r="H248" s="1" t="s">
        <v>230</v>
      </c>
      <c r="I248" s="1" t="str">
        <f t="shared" si="196"/>
        <v>Jul-2023</v>
      </c>
      <c r="J248" s="1">
        <v>2</v>
      </c>
    </row>
    <row r="249" spans="1:10" x14ac:dyDescent="0.3">
      <c r="A249" s="1">
        <v>1197218</v>
      </c>
      <c r="B249" s="1" t="e">
        <f t="shared" ref="B249:B301" si="251">IF(#REF!&lt;500000,"Low Income",
IF(#REF!&lt;=1000000,"Middle Income",
"High Income"))</f>
        <v>#REF!</v>
      </c>
      <c r="C249" s="1" t="s">
        <v>34</v>
      </c>
      <c r="D249" s="1" t="s">
        <v>11</v>
      </c>
      <c r="E249" s="1" t="s">
        <v>27</v>
      </c>
      <c r="F249" s="2">
        <v>18192</v>
      </c>
      <c r="G249" s="1" t="s">
        <v>21</v>
      </c>
      <c r="H249" s="1" t="s">
        <v>221</v>
      </c>
      <c r="I249" s="1" t="str">
        <f t="shared" si="196"/>
        <v>Jan-2023</v>
      </c>
      <c r="J249" s="1">
        <v>3</v>
      </c>
    </row>
    <row r="250" spans="1:10" x14ac:dyDescent="0.3">
      <c r="A250" s="1">
        <v>623216</v>
      </c>
      <c r="B250" s="1" t="e">
        <f t="shared" ref="B250:B301" si="252">IF(#REF!&lt;500000,"Low Income",
IF(#REF!&lt;=1000000,"Middle Income",
"High Income"))</f>
        <v>#REF!</v>
      </c>
      <c r="C250" s="1" t="s">
        <v>34</v>
      </c>
      <c r="D250" s="1" t="s">
        <v>11</v>
      </c>
      <c r="E250" s="1" t="s">
        <v>16</v>
      </c>
      <c r="F250" s="2">
        <v>3526</v>
      </c>
      <c r="G250" s="1" t="s">
        <v>13</v>
      </c>
      <c r="H250" s="1" t="s">
        <v>179</v>
      </c>
      <c r="I250" s="1" t="str">
        <f t="shared" si="196"/>
        <v>Jul-2023</v>
      </c>
      <c r="J250" s="1">
        <v>2</v>
      </c>
    </row>
    <row r="251" spans="1:10" x14ac:dyDescent="0.3">
      <c r="A251" s="1">
        <v>1356602</v>
      </c>
      <c r="B251" s="1" t="e">
        <f t="shared" ref="B251:B301" si="253">IF(#REF!&lt;500000,"Low Income",
IF(#REF!&lt;=1000000,"Middle Income",
"High Income"))</f>
        <v>#REF!</v>
      </c>
      <c r="C251" s="1" t="s">
        <v>19</v>
      </c>
      <c r="D251" s="1" t="s">
        <v>11</v>
      </c>
      <c r="E251" s="1" t="s">
        <v>27</v>
      </c>
      <c r="F251" s="2">
        <v>35000</v>
      </c>
      <c r="G251" s="1" t="s">
        <v>17</v>
      </c>
      <c r="H251" s="1" t="s">
        <v>231</v>
      </c>
      <c r="I251" s="1" t="str">
        <f t="shared" si="196"/>
        <v>May-2023</v>
      </c>
      <c r="J251" s="1">
        <v>5</v>
      </c>
    </row>
    <row r="252" spans="1:10" x14ac:dyDescent="0.3">
      <c r="A252" s="1">
        <v>296518</v>
      </c>
      <c r="B252" s="1" t="e">
        <f t="shared" ref="B252:B301" si="254">IF(#REF!&lt;500000,"Low Income",
IF(#REF!&lt;=1000000,"Middle Income",
"High Income"))</f>
        <v>#REF!</v>
      </c>
      <c r="C252" s="1" t="s">
        <v>19</v>
      </c>
      <c r="D252" s="1" t="s">
        <v>30</v>
      </c>
      <c r="E252" s="1" t="s">
        <v>20</v>
      </c>
      <c r="F252" s="2">
        <v>36076</v>
      </c>
      <c r="G252" s="1" t="s">
        <v>28</v>
      </c>
      <c r="H252" s="1" t="s">
        <v>171</v>
      </c>
      <c r="I252" s="1" t="str">
        <f t="shared" si="196"/>
        <v>Nov-2024</v>
      </c>
      <c r="J252" s="1">
        <v>2</v>
      </c>
    </row>
    <row r="253" spans="1:10" x14ac:dyDescent="0.3">
      <c r="A253" s="1">
        <v>1333450</v>
      </c>
      <c r="B253" s="1" t="e">
        <f t="shared" ref="B253:B301" si="255">IF(#REF!&lt;500000,"Low Income",
IF(#REF!&lt;=1000000,"Middle Income",
"High Income"))</f>
        <v>#REF!</v>
      </c>
      <c r="C253" s="1" t="s">
        <v>34</v>
      </c>
      <c r="D253" s="1" t="s">
        <v>30</v>
      </c>
      <c r="E253" s="1" t="s">
        <v>46</v>
      </c>
      <c r="F253" s="2">
        <v>14605</v>
      </c>
      <c r="G253" s="1" t="s">
        <v>17</v>
      </c>
      <c r="H253" s="1" t="s">
        <v>112</v>
      </c>
      <c r="I253" s="1" t="str">
        <f t="shared" si="196"/>
        <v>Dec-2024</v>
      </c>
      <c r="J253" s="1">
        <v>2</v>
      </c>
    </row>
    <row r="254" spans="1:10" x14ac:dyDescent="0.3">
      <c r="A254" s="1">
        <v>1021017</v>
      </c>
      <c r="B254" s="1" t="e">
        <f t="shared" ref="B254:B301" si="256">IF(#REF!&lt;500000,"Low Income",
IF(#REF!&lt;=1000000,"Middle Income",
"High Income"))</f>
        <v>#REF!</v>
      </c>
      <c r="C254" s="1" t="s">
        <v>15</v>
      </c>
      <c r="D254" s="1" t="s">
        <v>11</v>
      </c>
      <c r="E254" s="1" t="s">
        <v>12</v>
      </c>
      <c r="F254" s="2">
        <v>34200</v>
      </c>
      <c r="G254" s="1" t="s">
        <v>13</v>
      </c>
      <c r="H254" s="1" t="s">
        <v>232</v>
      </c>
      <c r="I254" s="1" t="str">
        <f t="shared" si="196"/>
        <v>Jun-2023</v>
      </c>
      <c r="J254" s="1">
        <v>2</v>
      </c>
    </row>
    <row r="255" spans="1:10" x14ac:dyDescent="0.3">
      <c r="A255" s="1">
        <v>810535</v>
      </c>
      <c r="B255" s="1" t="e">
        <f t="shared" ref="B255:B301" si="257">IF(#REF!&lt;500000,"Low Income",
IF(#REF!&lt;=1000000,"Middle Income",
"High Income"))</f>
        <v>#REF!</v>
      </c>
      <c r="C255" s="1" t="s">
        <v>23</v>
      </c>
      <c r="D255" s="1" t="s">
        <v>11</v>
      </c>
      <c r="E255" s="1" t="s">
        <v>36</v>
      </c>
      <c r="F255" s="2">
        <v>26549</v>
      </c>
      <c r="G255" s="1" t="s">
        <v>28</v>
      </c>
      <c r="H255" s="1" t="s">
        <v>233</v>
      </c>
      <c r="I255" s="1" t="str">
        <f t="shared" si="196"/>
        <v>Nov-2024</v>
      </c>
      <c r="J255" s="1">
        <v>2</v>
      </c>
    </row>
    <row r="256" spans="1:10" x14ac:dyDescent="0.3">
      <c r="A256" s="1">
        <v>795097</v>
      </c>
      <c r="B256" s="1" t="e">
        <f t="shared" ref="B256:B301" si="258">IF(#REF!&lt;500000,"Low Income",
IF(#REF!&lt;=1000000,"Middle Income",
"High Income"))</f>
        <v>#REF!</v>
      </c>
      <c r="C256" s="1" t="s">
        <v>39</v>
      </c>
      <c r="D256" s="1" t="s">
        <v>30</v>
      </c>
      <c r="E256" s="1" t="s">
        <v>12</v>
      </c>
      <c r="F256" s="2">
        <v>23576</v>
      </c>
      <c r="G256" s="1" t="s">
        <v>28</v>
      </c>
      <c r="H256" s="1" t="s">
        <v>234</v>
      </c>
      <c r="I256" s="1" t="str">
        <f t="shared" si="196"/>
        <v>Jul-2024</v>
      </c>
      <c r="J256" s="1">
        <v>5</v>
      </c>
    </row>
    <row r="257" spans="1:10" x14ac:dyDescent="0.3">
      <c r="A257" s="1">
        <v>779288</v>
      </c>
      <c r="B257" s="1" t="e">
        <f t="shared" ref="B257:B301" si="259">IF(#REF!&lt;500000,"Low Income",
IF(#REF!&lt;=1000000,"Middle Income",
"High Income"))</f>
        <v>#REF!</v>
      </c>
      <c r="C257" s="1" t="s">
        <v>34</v>
      </c>
      <c r="D257" s="1" t="s">
        <v>30</v>
      </c>
      <c r="E257" s="1" t="s">
        <v>12</v>
      </c>
      <c r="F257" s="2">
        <v>3351</v>
      </c>
      <c r="G257" s="1" t="s">
        <v>28</v>
      </c>
      <c r="H257" s="1" t="s">
        <v>188</v>
      </c>
      <c r="I257" s="1" t="str">
        <f t="shared" si="196"/>
        <v>Sep-2024</v>
      </c>
      <c r="J257" s="1">
        <v>4</v>
      </c>
    </row>
    <row r="258" spans="1:10" x14ac:dyDescent="0.3">
      <c r="A258" s="1">
        <v>351853</v>
      </c>
      <c r="B258" s="1" t="e">
        <f t="shared" ref="B258:B301" si="260">IF(#REF!&lt;500000,"Low Income",
IF(#REF!&lt;=1000000,"Middle Income",
"High Income"))</f>
        <v>#REF!</v>
      </c>
      <c r="C258" s="1" t="s">
        <v>23</v>
      </c>
      <c r="D258" s="1" t="s">
        <v>30</v>
      </c>
      <c r="E258" s="1" t="s">
        <v>24</v>
      </c>
      <c r="F258" s="2">
        <v>27365</v>
      </c>
      <c r="G258" s="1" t="s">
        <v>13</v>
      </c>
      <c r="H258" s="1" t="s">
        <v>235</v>
      </c>
      <c r="I258" s="1" t="str">
        <f t="shared" ref="I258:I301" si="261">TEXT(H258,"mmm-yyy")</f>
        <v>Jun-2024</v>
      </c>
      <c r="J258" s="1">
        <v>3</v>
      </c>
    </row>
    <row r="259" spans="1:10" x14ac:dyDescent="0.3">
      <c r="A259" s="1">
        <v>944434</v>
      </c>
      <c r="B259" s="1" t="e">
        <f t="shared" ref="B259:B301" si="262">IF(#REF!&lt;500000,"Low Income",
IF(#REF!&lt;=1000000,"Middle Income",
"High Income"))</f>
        <v>#REF!</v>
      </c>
      <c r="C259" s="1" t="s">
        <v>23</v>
      </c>
      <c r="D259" s="1" t="s">
        <v>30</v>
      </c>
      <c r="E259" s="1" t="s">
        <v>12</v>
      </c>
      <c r="F259" s="2">
        <v>8761</v>
      </c>
      <c r="G259" s="1" t="s">
        <v>13</v>
      </c>
      <c r="H259" s="1" t="s">
        <v>218</v>
      </c>
      <c r="I259" s="1" t="str">
        <f t="shared" si="261"/>
        <v>May-2024</v>
      </c>
      <c r="J259" s="1">
        <v>3</v>
      </c>
    </row>
    <row r="260" spans="1:10" x14ac:dyDescent="0.3">
      <c r="A260" s="1">
        <v>526503</v>
      </c>
      <c r="B260" s="1" t="e">
        <f t="shared" ref="B260:B301" si="263">IF(#REF!&lt;500000,"Low Income",
IF(#REF!&lt;=1000000,"Middle Income",
"High Income"))</f>
        <v>#REF!</v>
      </c>
      <c r="C260" s="1" t="s">
        <v>32</v>
      </c>
      <c r="D260" s="1" t="s">
        <v>11</v>
      </c>
      <c r="E260" s="1" t="s">
        <v>24</v>
      </c>
      <c r="F260" s="2">
        <v>11165</v>
      </c>
      <c r="G260" s="1" t="s">
        <v>17</v>
      </c>
      <c r="H260" s="1" t="s">
        <v>236</v>
      </c>
      <c r="I260" s="1" t="str">
        <f t="shared" si="261"/>
        <v>Jun-2024</v>
      </c>
      <c r="J260" s="1">
        <v>3</v>
      </c>
    </row>
    <row r="261" spans="1:10" x14ac:dyDescent="0.3">
      <c r="A261" s="1">
        <v>904069</v>
      </c>
      <c r="B261" s="1" t="e">
        <f t="shared" ref="B261:B301" si="264">IF(#REF!&lt;500000,"Low Income",
IF(#REF!&lt;=1000000,"Middle Income",
"High Income"))</f>
        <v>#REF!</v>
      </c>
      <c r="C261" s="1" t="s">
        <v>39</v>
      </c>
      <c r="D261" s="1" t="s">
        <v>30</v>
      </c>
      <c r="E261" s="1" t="s">
        <v>20</v>
      </c>
      <c r="F261" s="2">
        <v>8927</v>
      </c>
      <c r="G261" s="1" t="s">
        <v>13</v>
      </c>
      <c r="H261" s="1" t="s">
        <v>237</v>
      </c>
      <c r="I261" s="1" t="str">
        <f t="shared" si="261"/>
        <v>Dec-2024</v>
      </c>
      <c r="J261" s="1">
        <v>2</v>
      </c>
    </row>
    <row r="262" spans="1:10" x14ac:dyDescent="0.3">
      <c r="A262" s="1">
        <v>818791</v>
      </c>
      <c r="B262" s="1" t="e">
        <f t="shared" ref="B262:B301" si="265">IF(#REF!&lt;500000,"Low Income",
IF(#REF!&lt;=1000000,"Middle Income",
"High Income"))</f>
        <v>#REF!</v>
      </c>
      <c r="C262" s="1" t="s">
        <v>34</v>
      </c>
      <c r="D262" s="1" t="s">
        <v>30</v>
      </c>
      <c r="E262" s="1" t="s">
        <v>20</v>
      </c>
      <c r="F262" s="2">
        <v>26396</v>
      </c>
      <c r="G262" s="1" t="s">
        <v>17</v>
      </c>
      <c r="H262" s="1" t="s">
        <v>238</v>
      </c>
      <c r="I262" s="1" t="str">
        <f t="shared" si="261"/>
        <v>Sep-2023</v>
      </c>
      <c r="J262" s="1">
        <v>3</v>
      </c>
    </row>
    <row r="263" spans="1:10" x14ac:dyDescent="0.3">
      <c r="A263" s="1">
        <v>844045</v>
      </c>
      <c r="B263" s="1" t="e">
        <f t="shared" ref="B263:B301" si="266">IF(#REF!&lt;500000,"Low Income",
IF(#REF!&lt;=1000000,"Middle Income",
"High Income"))</f>
        <v>#REF!</v>
      </c>
      <c r="C263" s="1" t="s">
        <v>34</v>
      </c>
      <c r="D263" s="1" t="s">
        <v>30</v>
      </c>
      <c r="E263" s="1" t="s">
        <v>24</v>
      </c>
      <c r="F263" s="2">
        <v>31136</v>
      </c>
      <c r="G263" s="1" t="s">
        <v>28</v>
      </c>
      <c r="H263" s="1" t="s">
        <v>239</v>
      </c>
      <c r="I263" s="1" t="str">
        <f t="shared" si="261"/>
        <v>Feb-2023</v>
      </c>
      <c r="J263" s="1">
        <v>3</v>
      </c>
    </row>
    <row r="264" spans="1:10" x14ac:dyDescent="0.3">
      <c r="A264" s="1">
        <v>1008048</v>
      </c>
      <c r="B264" s="1" t="e">
        <f t="shared" ref="B264:B301" si="267">IF(#REF!&lt;500000,"Low Income",
IF(#REF!&lt;=1000000,"Middle Income",
"High Income"))</f>
        <v>#REF!</v>
      </c>
      <c r="C264" s="1" t="s">
        <v>34</v>
      </c>
      <c r="D264" s="1" t="s">
        <v>30</v>
      </c>
      <c r="E264" s="1" t="s">
        <v>16</v>
      </c>
      <c r="F264" s="2">
        <v>20115</v>
      </c>
      <c r="G264" s="1" t="s">
        <v>21</v>
      </c>
      <c r="H264" s="1" t="s">
        <v>240</v>
      </c>
      <c r="I264" s="1" t="str">
        <f t="shared" si="261"/>
        <v>Jan-2023</v>
      </c>
      <c r="J264" s="1">
        <v>4</v>
      </c>
    </row>
    <row r="265" spans="1:10" x14ac:dyDescent="0.3">
      <c r="A265" s="1">
        <v>708276</v>
      </c>
      <c r="B265" s="1" t="e">
        <f t="shared" ref="B265:B301" si="268">IF(#REF!&lt;500000,"Low Income",
IF(#REF!&lt;=1000000,"Middle Income",
"High Income"))</f>
        <v>#REF!</v>
      </c>
      <c r="C265" s="1" t="s">
        <v>15</v>
      </c>
      <c r="D265" s="1" t="s">
        <v>30</v>
      </c>
      <c r="E265" s="1" t="s">
        <v>36</v>
      </c>
      <c r="F265" s="2">
        <v>44332</v>
      </c>
      <c r="G265" s="1" t="s">
        <v>28</v>
      </c>
      <c r="H265" s="1" t="s">
        <v>241</v>
      </c>
      <c r="I265" s="1" t="str">
        <f t="shared" si="261"/>
        <v>Sep-2024</v>
      </c>
      <c r="J265" s="1">
        <v>4</v>
      </c>
    </row>
    <row r="266" spans="1:10" x14ac:dyDescent="0.3">
      <c r="A266" s="1">
        <v>976505</v>
      </c>
      <c r="B266" s="1" t="e">
        <f t="shared" ref="B266:B301" si="269">IF(#REF!&lt;500000,"Low Income",
IF(#REF!&lt;=1000000,"Middle Income",
"High Income"))</f>
        <v>#REF!</v>
      </c>
      <c r="C266" s="1" t="s">
        <v>34</v>
      </c>
      <c r="D266" s="1" t="s">
        <v>30</v>
      </c>
      <c r="E266" s="1" t="s">
        <v>16</v>
      </c>
      <c r="F266" s="2">
        <v>19082</v>
      </c>
      <c r="G266" s="1" t="s">
        <v>28</v>
      </c>
      <c r="H266" s="1" t="s">
        <v>242</v>
      </c>
      <c r="I266" s="1" t="str">
        <f t="shared" si="261"/>
        <v>May-2023</v>
      </c>
      <c r="J266" s="1">
        <v>2</v>
      </c>
    </row>
    <row r="267" spans="1:10" x14ac:dyDescent="0.3">
      <c r="A267" s="1">
        <v>737499</v>
      </c>
      <c r="B267" s="1" t="e">
        <f t="shared" ref="B267:B301" si="270">IF(#REF!&lt;500000,"Low Income",
IF(#REF!&lt;=1000000,"Middle Income",
"High Income"))</f>
        <v>#REF!</v>
      </c>
      <c r="C267" s="1" t="s">
        <v>19</v>
      </c>
      <c r="D267" s="1" t="s">
        <v>30</v>
      </c>
      <c r="E267" s="1" t="s">
        <v>27</v>
      </c>
      <c r="F267" s="2">
        <v>23692</v>
      </c>
      <c r="G267" s="1" t="s">
        <v>13</v>
      </c>
      <c r="H267" s="1" t="s">
        <v>243</v>
      </c>
      <c r="I267" s="1" t="str">
        <f t="shared" si="261"/>
        <v>Oct-2023</v>
      </c>
      <c r="J267" s="1">
        <v>3</v>
      </c>
    </row>
    <row r="268" spans="1:10" x14ac:dyDescent="0.3">
      <c r="A268" s="1">
        <v>772947</v>
      </c>
      <c r="B268" s="1" t="e">
        <f t="shared" ref="B268:B301" si="271">IF(#REF!&lt;500000,"Low Income",
IF(#REF!&lt;=1000000,"Middle Income",
"High Income"))</f>
        <v>#REF!</v>
      </c>
      <c r="C268" s="1" t="s">
        <v>19</v>
      </c>
      <c r="D268" s="1" t="s">
        <v>11</v>
      </c>
      <c r="E268" s="1" t="s">
        <v>16</v>
      </c>
      <c r="F268" s="2">
        <v>12028</v>
      </c>
      <c r="G268" s="1" t="s">
        <v>17</v>
      </c>
      <c r="H268" s="1" t="s">
        <v>244</v>
      </c>
      <c r="I268" s="1" t="str">
        <f t="shared" si="261"/>
        <v>Oct-2024</v>
      </c>
      <c r="J268" s="1">
        <v>4</v>
      </c>
    </row>
    <row r="269" spans="1:10" x14ac:dyDescent="0.3">
      <c r="A269" s="1">
        <v>355513</v>
      </c>
      <c r="B269" s="1" t="e">
        <f t="shared" ref="B269:B301" si="272">IF(#REF!&lt;500000,"Low Income",
IF(#REF!&lt;=1000000,"Middle Income",
"High Income"))</f>
        <v>#REF!</v>
      </c>
      <c r="C269" s="1" t="s">
        <v>39</v>
      </c>
      <c r="D269" s="1" t="s">
        <v>30</v>
      </c>
      <c r="E269" s="1" t="s">
        <v>46</v>
      </c>
      <c r="F269" s="2">
        <v>31762</v>
      </c>
      <c r="G269" s="1" t="s">
        <v>17</v>
      </c>
      <c r="H269" s="1" t="s">
        <v>245</v>
      </c>
      <c r="I269" s="1" t="str">
        <f t="shared" si="261"/>
        <v>Apr-2023</v>
      </c>
      <c r="J269" s="1">
        <v>4</v>
      </c>
    </row>
    <row r="270" spans="1:10" x14ac:dyDescent="0.3">
      <c r="A270" s="1">
        <v>1053394</v>
      </c>
      <c r="B270" s="1" t="e">
        <f t="shared" ref="B270:B301" si="273">IF(#REF!&lt;500000,"Low Income",
IF(#REF!&lt;=1000000,"Middle Income",
"High Income"))</f>
        <v>#REF!</v>
      </c>
      <c r="C270" s="1" t="s">
        <v>23</v>
      </c>
      <c r="D270" s="1" t="s">
        <v>30</v>
      </c>
      <c r="E270" s="1" t="s">
        <v>36</v>
      </c>
      <c r="F270" s="2">
        <v>42019</v>
      </c>
      <c r="G270" s="1" t="s">
        <v>17</v>
      </c>
      <c r="H270" s="1" t="s">
        <v>246</v>
      </c>
      <c r="I270" s="1" t="str">
        <f t="shared" si="261"/>
        <v>Feb-2024</v>
      </c>
      <c r="J270" s="1">
        <v>2</v>
      </c>
    </row>
    <row r="271" spans="1:10" x14ac:dyDescent="0.3">
      <c r="A271" s="1">
        <v>1060281</v>
      </c>
      <c r="B271" s="1" t="e">
        <f t="shared" ref="B271:B301" si="274">IF(#REF!&lt;500000,"Low Income",
IF(#REF!&lt;=1000000,"Middle Income",
"High Income"))</f>
        <v>#REF!</v>
      </c>
      <c r="C271" s="1" t="s">
        <v>19</v>
      </c>
      <c r="D271" s="1" t="s">
        <v>11</v>
      </c>
      <c r="E271" s="1" t="s">
        <v>27</v>
      </c>
      <c r="F271" s="2">
        <v>12421</v>
      </c>
      <c r="G271" s="1" t="s">
        <v>17</v>
      </c>
      <c r="H271" s="1" t="s">
        <v>247</v>
      </c>
      <c r="I271" s="1" t="str">
        <f t="shared" si="261"/>
        <v>May-2024</v>
      </c>
      <c r="J271" s="1">
        <v>4</v>
      </c>
    </row>
    <row r="272" spans="1:10" x14ac:dyDescent="0.3">
      <c r="A272" s="1">
        <v>1075147</v>
      </c>
      <c r="B272" s="1" t="e">
        <f t="shared" ref="B272:B301" si="275">IF(#REF!&lt;500000,"Low Income",
IF(#REF!&lt;=1000000,"Middle Income",
"High Income"))</f>
        <v>#REF!</v>
      </c>
      <c r="C272" s="1" t="s">
        <v>34</v>
      </c>
      <c r="D272" s="1" t="s">
        <v>11</v>
      </c>
      <c r="E272" s="1" t="s">
        <v>20</v>
      </c>
      <c r="F272" s="2">
        <v>2605</v>
      </c>
      <c r="G272" s="1" t="s">
        <v>21</v>
      </c>
      <c r="H272" s="1" t="s">
        <v>196</v>
      </c>
      <c r="I272" s="1" t="str">
        <f t="shared" si="261"/>
        <v>Apr-2023</v>
      </c>
      <c r="J272" s="1">
        <v>5</v>
      </c>
    </row>
    <row r="273" spans="1:10" x14ac:dyDescent="0.3">
      <c r="A273" s="1">
        <v>728227</v>
      </c>
      <c r="B273" s="1" t="e">
        <f t="shared" ref="B273:B301" si="276">IF(#REF!&lt;500000,"Low Income",
IF(#REF!&lt;=1000000,"Middle Income",
"High Income"))</f>
        <v>#REF!</v>
      </c>
      <c r="C273" s="1" t="s">
        <v>19</v>
      </c>
      <c r="D273" s="1" t="s">
        <v>11</v>
      </c>
      <c r="E273" s="1" t="s">
        <v>27</v>
      </c>
      <c r="F273" s="2">
        <v>45868</v>
      </c>
      <c r="G273" s="1" t="s">
        <v>17</v>
      </c>
      <c r="H273" s="1" t="s">
        <v>248</v>
      </c>
      <c r="I273" s="1" t="str">
        <f t="shared" si="261"/>
        <v>Mar-2023</v>
      </c>
      <c r="J273" s="1">
        <v>3</v>
      </c>
    </row>
    <row r="274" spans="1:10" x14ac:dyDescent="0.3">
      <c r="A274" s="1">
        <v>679702</v>
      </c>
      <c r="B274" s="1" t="e">
        <f t="shared" ref="B274:B301" si="277">IF(#REF!&lt;500000,"Low Income",
IF(#REF!&lt;=1000000,"Middle Income",
"High Income"))</f>
        <v>#REF!</v>
      </c>
      <c r="C274" s="1" t="s">
        <v>32</v>
      </c>
      <c r="D274" s="1" t="s">
        <v>30</v>
      </c>
      <c r="E274" s="1" t="s">
        <v>36</v>
      </c>
      <c r="F274" s="2">
        <v>2847</v>
      </c>
      <c r="G274" s="1" t="s">
        <v>21</v>
      </c>
      <c r="H274" s="1" t="s">
        <v>249</v>
      </c>
      <c r="I274" s="1" t="str">
        <f t="shared" si="261"/>
        <v>Mar-2024</v>
      </c>
      <c r="J274" s="1">
        <v>3</v>
      </c>
    </row>
    <row r="275" spans="1:10" x14ac:dyDescent="0.3">
      <c r="A275" s="1">
        <v>1327598</v>
      </c>
      <c r="B275" s="1" t="e">
        <f t="shared" ref="B275:B301" si="278">IF(#REF!&lt;500000,"Low Income",
IF(#REF!&lt;=1000000,"Middle Income",
"High Income"))</f>
        <v>#REF!</v>
      </c>
      <c r="C275" s="1" t="s">
        <v>19</v>
      </c>
      <c r="D275" s="1" t="s">
        <v>11</v>
      </c>
      <c r="E275" s="1" t="s">
        <v>27</v>
      </c>
      <c r="F275" s="2">
        <v>16072</v>
      </c>
      <c r="G275" s="1" t="s">
        <v>21</v>
      </c>
      <c r="H275" s="1" t="s">
        <v>250</v>
      </c>
      <c r="I275" s="1" t="str">
        <f t="shared" si="261"/>
        <v>Oct-2024</v>
      </c>
      <c r="J275" s="1">
        <v>2</v>
      </c>
    </row>
    <row r="276" spans="1:10" x14ac:dyDescent="0.3">
      <c r="A276" s="1">
        <v>788944</v>
      </c>
      <c r="B276" s="1" t="e">
        <f t="shared" ref="B276:B301" si="279">IF(#REF!&lt;500000,"Low Income",
IF(#REF!&lt;=1000000,"Middle Income",
"High Income"))</f>
        <v>#REF!</v>
      </c>
      <c r="C276" s="1" t="s">
        <v>32</v>
      </c>
      <c r="D276" s="1" t="s">
        <v>11</v>
      </c>
      <c r="E276" s="1" t="s">
        <v>16</v>
      </c>
      <c r="F276" s="2">
        <v>28316</v>
      </c>
      <c r="G276" s="1" t="s">
        <v>13</v>
      </c>
      <c r="H276" s="1" t="s">
        <v>251</v>
      </c>
      <c r="I276" s="1" t="str">
        <f t="shared" si="261"/>
        <v>Apr-2024</v>
      </c>
      <c r="J276" s="1">
        <v>2</v>
      </c>
    </row>
    <row r="277" spans="1:10" x14ac:dyDescent="0.3">
      <c r="A277" s="1">
        <v>1307809</v>
      </c>
      <c r="B277" s="1" t="e">
        <f t="shared" ref="B277:B301" si="280">IF(#REF!&lt;500000,"Low Income",
IF(#REF!&lt;=1000000,"Middle Income",
"High Income"))</f>
        <v>#REF!</v>
      </c>
      <c r="C277" s="1" t="s">
        <v>15</v>
      </c>
      <c r="D277" s="1" t="s">
        <v>11</v>
      </c>
      <c r="E277" s="1" t="s">
        <v>20</v>
      </c>
      <c r="F277" s="2">
        <v>16151</v>
      </c>
      <c r="G277" s="1" t="s">
        <v>28</v>
      </c>
      <c r="H277" s="1" t="s">
        <v>252</v>
      </c>
      <c r="I277" s="1" t="str">
        <f t="shared" si="261"/>
        <v>Dec-2024</v>
      </c>
      <c r="J277" s="1">
        <v>5</v>
      </c>
    </row>
    <row r="278" spans="1:10" x14ac:dyDescent="0.3">
      <c r="A278" s="1">
        <v>334104</v>
      </c>
      <c r="B278" s="1" t="e">
        <f t="shared" ref="B278:B301" si="281">IF(#REF!&lt;500000,"Low Income",
IF(#REF!&lt;=1000000,"Middle Income",
"High Income"))</f>
        <v>#REF!</v>
      </c>
      <c r="C278" s="1" t="s">
        <v>32</v>
      </c>
      <c r="D278" s="1" t="s">
        <v>30</v>
      </c>
      <c r="E278" s="1" t="s">
        <v>12</v>
      </c>
      <c r="F278" s="2">
        <v>26589</v>
      </c>
      <c r="G278" s="1" t="s">
        <v>28</v>
      </c>
      <c r="H278" s="1" t="s">
        <v>198</v>
      </c>
      <c r="I278" s="1" t="str">
        <f t="shared" si="261"/>
        <v>Mar-2023</v>
      </c>
      <c r="J278" s="1">
        <v>2</v>
      </c>
    </row>
    <row r="279" spans="1:10" x14ac:dyDescent="0.3">
      <c r="A279" s="1">
        <v>475900</v>
      </c>
      <c r="B279" s="1" t="e">
        <f t="shared" ref="B279:B301" si="282">IF(#REF!&lt;500000,"Low Income",
IF(#REF!&lt;=1000000,"Middle Income",
"High Income"))</f>
        <v>#REF!</v>
      </c>
      <c r="C279" s="1" t="s">
        <v>19</v>
      </c>
      <c r="D279" s="1" t="s">
        <v>30</v>
      </c>
      <c r="E279" s="1" t="s">
        <v>12</v>
      </c>
      <c r="F279" s="2">
        <v>28112</v>
      </c>
      <c r="G279" s="1" t="s">
        <v>28</v>
      </c>
      <c r="H279" s="1" t="s">
        <v>148</v>
      </c>
      <c r="I279" s="1" t="str">
        <f t="shared" si="261"/>
        <v>Dec-2023</v>
      </c>
      <c r="J279" s="1">
        <v>2</v>
      </c>
    </row>
    <row r="280" spans="1:10" x14ac:dyDescent="0.3">
      <c r="A280" s="1">
        <v>566272</v>
      </c>
      <c r="B280" s="1" t="e">
        <f t="shared" ref="B280:B301" si="283">IF(#REF!&lt;500000,"Low Income",
IF(#REF!&lt;=1000000,"Middle Income",
"High Income"))</f>
        <v>#REF!</v>
      </c>
      <c r="C280" s="1" t="s">
        <v>32</v>
      </c>
      <c r="D280" s="1" t="s">
        <v>30</v>
      </c>
      <c r="E280" s="1" t="s">
        <v>20</v>
      </c>
      <c r="F280" s="2">
        <v>41599</v>
      </c>
      <c r="G280" s="1" t="s">
        <v>17</v>
      </c>
      <c r="H280" s="1" t="s">
        <v>253</v>
      </c>
      <c r="I280" s="1" t="str">
        <f t="shared" si="261"/>
        <v>Oct-2023</v>
      </c>
      <c r="J280" s="1">
        <v>3</v>
      </c>
    </row>
    <row r="281" spans="1:10" x14ac:dyDescent="0.3">
      <c r="A281" s="1">
        <v>1258738</v>
      </c>
      <c r="B281" s="1" t="e">
        <f t="shared" ref="B281:B301" si="284">IF(#REF!&lt;500000,"Low Income",
IF(#REF!&lt;=1000000,"Middle Income",
"High Income"))</f>
        <v>#REF!</v>
      </c>
      <c r="C281" s="1" t="s">
        <v>23</v>
      </c>
      <c r="D281" s="1" t="s">
        <v>30</v>
      </c>
      <c r="E281" s="1" t="s">
        <v>12</v>
      </c>
      <c r="F281" s="2">
        <v>47150</v>
      </c>
      <c r="G281" s="1" t="s">
        <v>28</v>
      </c>
      <c r="H281" s="1" t="s">
        <v>254</v>
      </c>
      <c r="I281" s="1" t="str">
        <f t="shared" si="261"/>
        <v>Jun-2024</v>
      </c>
      <c r="J281" s="1">
        <v>2</v>
      </c>
    </row>
    <row r="282" spans="1:10" x14ac:dyDescent="0.3">
      <c r="A282" s="1">
        <v>1017486</v>
      </c>
      <c r="B282" s="1" t="e">
        <f t="shared" ref="B282:B301" si="285">IF(#REF!&lt;500000,"Low Income",
IF(#REF!&lt;=1000000,"Middle Income",
"High Income"))</f>
        <v>#REF!</v>
      </c>
      <c r="C282" s="1" t="s">
        <v>19</v>
      </c>
      <c r="D282" s="1" t="s">
        <v>11</v>
      </c>
      <c r="E282" s="1" t="s">
        <v>46</v>
      </c>
      <c r="F282" s="2">
        <v>9578</v>
      </c>
      <c r="G282" s="1" t="s">
        <v>28</v>
      </c>
      <c r="H282" s="1" t="s">
        <v>255</v>
      </c>
      <c r="I282" s="1" t="str">
        <f t="shared" si="261"/>
        <v>Oct-2024</v>
      </c>
      <c r="J282" s="1">
        <v>2</v>
      </c>
    </row>
    <row r="283" spans="1:10" x14ac:dyDescent="0.3">
      <c r="A283" s="1">
        <v>1174489</v>
      </c>
      <c r="B283" s="1" t="e">
        <f t="shared" ref="B283:B301" si="286">IF(#REF!&lt;500000,"Low Income",
IF(#REF!&lt;=1000000,"Middle Income",
"High Income"))</f>
        <v>#REF!</v>
      </c>
      <c r="C283" s="1" t="s">
        <v>39</v>
      </c>
      <c r="D283" s="1" t="s">
        <v>11</v>
      </c>
      <c r="E283" s="1" t="s">
        <v>27</v>
      </c>
      <c r="F283" s="2">
        <v>23447</v>
      </c>
      <c r="G283" s="1" t="s">
        <v>13</v>
      </c>
      <c r="H283" s="1" t="s">
        <v>104</v>
      </c>
      <c r="I283" s="1" t="str">
        <f t="shared" si="261"/>
        <v>Jun-2023</v>
      </c>
      <c r="J283" s="1">
        <v>5</v>
      </c>
    </row>
    <row r="284" spans="1:10" x14ac:dyDescent="0.3">
      <c r="A284" s="1">
        <v>1296022</v>
      </c>
      <c r="B284" s="1" t="e">
        <f t="shared" ref="B284:B301" si="287">IF(#REF!&lt;500000,"Low Income",
IF(#REF!&lt;=1000000,"Middle Income",
"High Income"))</f>
        <v>#REF!</v>
      </c>
      <c r="C284" s="1" t="s">
        <v>15</v>
      </c>
      <c r="D284" s="1" t="s">
        <v>11</v>
      </c>
      <c r="E284" s="1" t="s">
        <v>46</v>
      </c>
      <c r="F284" s="2">
        <v>43351</v>
      </c>
      <c r="G284" s="1" t="s">
        <v>13</v>
      </c>
      <c r="H284" s="1" t="s">
        <v>256</v>
      </c>
      <c r="I284" s="1" t="str">
        <f t="shared" si="261"/>
        <v>Jan-2024</v>
      </c>
      <c r="J284" s="1">
        <v>2</v>
      </c>
    </row>
    <row r="285" spans="1:10" x14ac:dyDescent="0.3">
      <c r="A285" s="1">
        <v>1273966</v>
      </c>
      <c r="B285" s="1" t="e">
        <f t="shared" ref="B285:B301" si="288">IF(#REF!&lt;500000,"Low Income",
IF(#REF!&lt;=1000000,"Middle Income",
"High Income"))</f>
        <v>#REF!</v>
      </c>
      <c r="C285" s="1" t="s">
        <v>19</v>
      </c>
      <c r="D285" s="1" t="s">
        <v>30</v>
      </c>
      <c r="E285" s="1" t="s">
        <v>36</v>
      </c>
      <c r="F285" s="2">
        <v>32727</v>
      </c>
      <c r="G285" s="1" t="s">
        <v>13</v>
      </c>
      <c r="H285" s="1" t="s">
        <v>250</v>
      </c>
      <c r="I285" s="1" t="str">
        <f t="shared" si="261"/>
        <v>Oct-2024</v>
      </c>
      <c r="J285" s="1">
        <v>2</v>
      </c>
    </row>
    <row r="286" spans="1:10" x14ac:dyDescent="0.3">
      <c r="A286" s="1">
        <v>567297</v>
      </c>
      <c r="B286" s="1" t="e">
        <f t="shared" ref="B286:B301" si="289">IF(#REF!&lt;500000,"Low Income",
IF(#REF!&lt;=1000000,"Middle Income",
"High Income"))</f>
        <v>#REF!</v>
      </c>
      <c r="C286" s="1" t="s">
        <v>15</v>
      </c>
      <c r="D286" s="1" t="s">
        <v>11</v>
      </c>
      <c r="E286" s="1" t="s">
        <v>16</v>
      </c>
      <c r="F286" s="2">
        <v>2532</v>
      </c>
      <c r="G286" s="1" t="s">
        <v>21</v>
      </c>
      <c r="H286" s="1" t="s">
        <v>233</v>
      </c>
      <c r="I286" s="1" t="str">
        <f t="shared" si="261"/>
        <v>Nov-2024</v>
      </c>
      <c r="J286" s="1">
        <v>2</v>
      </c>
    </row>
    <row r="287" spans="1:10" x14ac:dyDescent="0.3">
      <c r="A287" s="1">
        <v>731622</v>
      </c>
      <c r="B287" s="1" t="e">
        <f t="shared" ref="B287:B301" si="290">IF(#REF!&lt;500000,"Low Income",
IF(#REF!&lt;=1000000,"Middle Income",
"High Income"))</f>
        <v>#REF!</v>
      </c>
      <c r="C287" s="1" t="s">
        <v>39</v>
      </c>
      <c r="D287" s="1" t="s">
        <v>30</v>
      </c>
      <c r="E287" s="1" t="s">
        <v>20</v>
      </c>
      <c r="F287" s="2">
        <v>24545</v>
      </c>
      <c r="G287" s="1" t="s">
        <v>28</v>
      </c>
      <c r="H287" s="1" t="s">
        <v>257</v>
      </c>
      <c r="I287" s="1" t="str">
        <f t="shared" si="261"/>
        <v>Dec-2023</v>
      </c>
      <c r="J287" s="1">
        <v>4</v>
      </c>
    </row>
    <row r="288" spans="1:10" x14ac:dyDescent="0.3">
      <c r="A288" s="1">
        <v>1091967</v>
      </c>
      <c r="B288" s="1" t="e">
        <f t="shared" ref="B288:B301" si="291">IF(#REF!&lt;500000,"Low Income",
IF(#REF!&lt;=1000000,"Middle Income",
"High Income"))</f>
        <v>#REF!</v>
      </c>
      <c r="C288" s="1" t="s">
        <v>32</v>
      </c>
      <c r="D288" s="1" t="s">
        <v>30</v>
      </c>
      <c r="E288" s="1" t="s">
        <v>36</v>
      </c>
      <c r="F288" s="2">
        <v>7631</v>
      </c>
      <c r="G288" s="1" t="s">
        <v>13</v>
      </c>
      <c r="H288" s="1" t="s">
        <v>258</v>
      </c>
      <c r="I288" s="1" t="str">
        <f t="shared" si="261"/>
        <v>Feb-2024</v>
      </c>
      <c r="J288" s="1">
        <v>3</v>
      </c>
    </row>
    <row r="289" spans="1:10" x14ac:dyDescent="0.3">
      <c r="A289" s="1">
        <v>1108075</v>
      </c>
      <c r="B289" s="1" t="e">
        <f t="shared" ref="B289:B301" si="292">IF(#REF!&lt;500000,"Low Income",
IF(#REF!&lt;=1000000,"Middle Income",
"High Income"))</f>
        <v>#REF!</v>
      </c>
      <c r="C289" s="1" t="s">
        <v>23</v>
      </c>
      <c r="D289" s="1" t="s">
        <v>11</v>
      </c>
      <c r="E289" s="1" t="s">
        <v>46</v>
      </c>
      <c r="F289" s="2">
        <v>19868</v>
      </c>
      <c r="G289" s="1" t="s">
        <v>17</v>
      </c>
      <c r="H289" s="1" t="s">
        <v>259</v>
      </c>
      <c r="I289" s="1" t="str">
        <f t="shared" si="261"/>
        <v>Aug-2024</v>
      </c>
      <c r="J289" s="1">
        <v>3</v>
      </c>
    </row>
    <row r="290" spans="1:10" x14ac:dyDescent="0.3">
      <c r="A290" s="1">
        <v>830718</v>
      </c>
      <c r="B290" s="1" t="e">
        <f t="shared" ref="B290:B301" si="293">IF(#REF!&lt;500000,"Low Income",
IF(#REF!&lt;=1000000,"Middle Income",
"High Income"))</f>
        <v>#REF!</v>
      </c>
      <c r="C290" s="1" t="s">
        <v>23</v>
      </c>
      <c r="D290" s="1" t="s">
        <v>30</v>
      </c>
      <c r="E290" s="1" t="s">
        <v>27</v>
      </c>
      <c r="F290" s="2">
        <v>18832</v>
      </c>
      <c r="G290" s="1" t="s">
        <v>21</v>
      </c>
      <c r="H290" s="1" t="s">
        <v>57</v>
      </c>
      <c r="I290" s="1" t="str">
        <f t="shared" si="261"/>
        <v>Oct-2024</v>
      </c>
      <c r="J290" s="1">
        <v>4</v>
      </c>
    </row>
    <row r="291" spans="1:10" x14ac:dyDescent="0.3">
      <c r="A291" s="1">
        <v>650355</v>
      </c>
      <c r="B291" s="1" t="e">
        <f t="shared" ref="B291:B301" si="294">IF(#REF!&lt;500000,"Low Income",
IF(#REF!&lt;=1000000,"Middle Income",
"High Income"))</f>
        <v>#REF!</v>
      </c>
      <c r="C291" s="1" t="s">
        <v>32</v>
      </c>
      <c r="D291" s="1" t="s">
        <v>11</v>
      </c>
      <c r="E291" s="1" t="s">
        <v>36</v>
      </c>
      <c r="F291" s="2">
        <v>31389</v>
      </c>
      <c r="G291" s="1" t="s">
        <v>13</v>
      </c>
      <c r="H291" s="1" t="s">
        <v>260</v>
      </c>
      <c r="I291" s="1" t="str">
        <f t="shared" si="261"/>
        <v>Jan-2024</v>
      </c>
      <c r="J291" s="1">
        <v>5</v>
      </c>
    </row>
    <row r="292" spans="1:10" x14ac:dyDescent="0.3">
      <c r="A292" s="1">
        <v>1153680</v>
      </c>
      <c r="B292" s="1" t="e">
        <f t="shared" ref="B292:B301" si="295">IF(#REF!&lt;500000,"Low Income",
IF(#REF!&lt;=1000000,"Middle Income",
"High Income"))</f>
        <v>#REF!</v>
      </c>
      <c r="C292" s="1" t="s">
        <v>39</v>
      </c>
      <c r="D292" s="1" t="s">
        <v>30</v>
      </c>
      <c r="E292" s="1" t="s">
        <v>24</v>
      </c>
      <c r="F292" s="2">
        <v>1291</v>
      </c>
      <c r="G292" s="1" t="s">
        <v>17</v>
      </c>
      <c r="H292" s="1" t="s">
        <v>261</v>
      </c>
      <c r="I292" s="1" t="str">
        <f t="shared" si="261"/>
        <v>Jun-2023</v>
      </c>
      <c r="J292" s="1">
        <v>2</v>
      </c>
    </row>
    <row r="293" spans="1:10" x14ac:dyDescent="0.3">
      <c r="A293" s="1">
        <v>942833</v>
      </c>
      <c r="B293" s="1" t="e">
        <f t="shared" ref="B293:B301" si="296">IF(#REF!&lt;500000,"Low Income",
IF(#REF!&lt;=1000000,"Middle Income",
"High Income"))</f>
        <v>#REF!</v>
      </c>
      <c r="C293" s="1" t="s">
        <v>10</v>
      </c>
      <c r="D293" s="1" t="s">
        <v>30</v>
      </c>
      <c r="E293" s="1" t="s">
        <v>36</v>
      </c>
      <c r="F293" s="2">
        <v>20024</v>
      </c>
      <c r="G293" s="1" t="s">
        <v>28</v>
      </c>
      <c r="H293" s="1" t="s">
        <v>79</v>
      </c>
      <c r="I293" s="1" t="str">
        <f t="shared" si="261"/>
        <v>Sep-2023</v>
      </c>
      <c r="J293" s="1">
        <v>4</v>
      </c>
    </row>
    <row r="294" spans="1:10" x14ac:dyDescent="0.3">
      <c r="A294" s="1">
        <v>1294700</v>
      </c>
      <c r="B294" s="1" t="e">
        <f t="shared" ref="B294:B301" si="297">IF(#REF!&lt;500000,"Low Income",
IF(#REF!&lt;=1000000,"Middle Income",
"High Income"))</f>
        <v>#REF!</v>
      </c>
      <c r="C294" s="1" t="s">
        <v>19</v>
      </c>
      <c r="D294" s="1" t="s">
        <v>30</v>
      </c>
      <c r="E294" s="1" t="s">
        <v>46</v>
      </c>
      <c r="F294" s="2">
        <v>38068</v>
      </c>
      <c r="G294" s="1" t="s">
        <v>13</v>
      </c>
      <c r="H294" s="1" t="s">
        <v>262</v>
      </c>
      <c r="I294" s="1" t="str">
        <f t="shared" si="261"/>
        <v>Sep-2023</v>
      </c>
      <c r="J294" s="1">
        <v>4</v>
      </c>
    </row>
    <row r="295" spans="1:10" x14ac:dyDescent="0.3">
      <c r="A295" s="1">
        <v>1071321</v>
      </c>
      <c r="B295" s="1" t="e">
        <f t="shared" ref="B295:B301" si="298">IF(#REF!&lt;500000,"Low Income",
IF(#REF!&lt;=1000000,"Middle Income",
"High Income"))</f>
        <v>#REF!</v>
      </c>
      <c r="C295" s="1" t="s">
        <v>39</v>
      </c>
      <c r="D295" s="1" t="s">
        <v>11</v>
      </c>
      <c r="E295" s="1" t="s">
        <v>16</v>
      </c>
      <c r="F295" s="2">
        <v>35676</v>
      </c>
      <c r="G295" s="1" t="s">
        <v>17</v>
      </c>
      <c r="H295" s="1" t="s">
        <v>263</v>
      </c>
      <c r="I295" s="1" t="str">
        <f t="shared" si="261"/>
        <v>Sep-2023</v>
      </c>
      <c r="J295" s="1">
        <v>2</v>
      </c>
    </row>
    <row r="296" spans="1:10" x14ac:dyDescent="0.3">
      <c r="A296" s="1">
        <v>821227</v>
      </c>
      <c r="B296" s="1" t="e">
        <f t="shared" ref="B296:B301" si="299">IF(#REF!&lt;500000,"Low Income",
IF(#REF!&lt;=1000000,"Middle Income",
"High Income"))</f>
        <v>#REF!</v>
      </c>
      <c r="C296" s="1" t="s">
        <v>32</v>
      </c>
      <c r="D296" s="1" t="s">
        <v>11</v>
      </c>
      <c r="E296" s="1" t="s">
        <v>27</v>
      </c>
      <c r="F296" s="2">
        <v>36516</v>
      </c>
      <c r="G296" s="1" t="s">
        <v>21</v>
      </c>
      <c r="H296" s="1" t="s">
        <v>242</v>
      </c>
      <c r="I296" s="1" t="str">
        <f t="shared" si="261"/>
        <v>May-2023</v>
      </c>
      <c r="J296" s="1">
        <v>3</v>
      </c>
    </row>
    <row r="297" spans="1:10" x14ac:dyDescent="0.3">
      <c r="A297" s="1">
        <v>716976</v>
      </c>
      <c r="B297" s="1" t="e">
        <f t="shared" ref="B297:B301" si="300">IF(#REF!&lt;500000,"Low Income",
IF(#REF!&lt;=1000000,"Middle Income",
"High Income"))</f>
        <v>#REF!</v>
      </c>
      <c r="C297" s="1" t="s">
        <v>23</v>
      </c>
      <c r="D297" s="1" t="s">
        <v>30</v>
      </c>
      <c r="E297" s="1" t="s">
        <v>16</v>
      </c>
      <c r="F297" s="2">
        <v>5941</v>
      </c>
      <c r="G297" s="1" t="s">
        <v>13</v>
      </c>
      <c r="H297" s="1" t="s">
        <v>264</v>
      </c>
      <c r="I297" s="1" t="str">
        <f t="shared" si="261"/>
        <v>Aug-2024</v>
      </c>
      <c r="J297" s="1">
        <v>3</v>
      </c>
    </row>
    <row r="298" spans="1:10" x14ac:dyDescent="0.3">
      <c r="A298" s="1">
        <v>628541</v>
      </c>
      <c r="B298" s="1" t="e">
        <f t="shared" ref="B298:B301" si="301">IF(#REF!&lt;500000,"Low Income",
IF(#REF!&lt;=1000000,"Middle Income",
"High Income"))</f>
        <v>#REF!</v>
      </c>
      <c r="C298" s="1" t="s">
        <v>10</v>
      </c>
      <c r="D298" s="1" t="s">
        <v>11</v>
      </c>
      <c r="E298" s="1" t="s">
        <v>46</v>
      </c>
      <c r="F298" s="2">
        <v>44888</v>
      </c>
      <c r="G298" s="1" t="s">
        <v>13</v>
      </c>
      <c r="H298" s="1" t="s">
        <v>265</v>
      </c>
      <c r="I298" s="1" t="str">
        <f t="shared" si="261"/>
        <v>Feb-2023</v>
      </c>
      <c r="J298" s="1">
        <v>4</v>
      </c>
    </row>
    <row r="299" spans="1:10" x14ac:dyDescent="0.3">
      <c r="A299" s="1">
        <v>476253</v>
      </c>
      <c r="B299" s="1" t="e">
        <f t="shared" ref="B299:B301" si="302">IF(#REF!&lt;500000,"Low Income",
IF(#REF!&lt;=1000000,"Middle Income",
"High Income"))</f>
        <v>#REF!</v>
      </c>
      <c r="C299" s="1" t="s">
        <v>32</v>
      </c>
      <c r="D299" s="1" t="s">
        <v>11</v>
      </c>
      <c r="E299" s="1" t="s">
        <v>20</v>
      </c>
      <c r="F299" s="2">
        <v>41085</v>
      </c>
      <c r="G299" s="1" t="s">
        <v>17</v>
      </c>
      <c r="H299" s="1" t="s">
        <v>266</v>
      </c>
      <c r="I299" s="1" t="str">
        <f t="shared" si="261"/>
        <v>Jul-2023</v>
      </c>
      <c r="J299" s="1">
        <v>4</v>
      </c>
    </row>
    <row r="300" spans="1:10" x14ac:dyDescent="0.3">
      <c r="A300" s="1">
        <v>560319</v>
      </c>
      <c r="B300" s="1" t="e">
        <f t="shared" ref="B300:B301" si="303">IF(#REF!&lt;500000,"Low Income",
IF(#REF!&lt;=1000000,"Middle Income",
"High Income"))</f>
        <v>#REF!</v>
      </c>
      <c r="C300" s="1" t="s">
        <v>19</v>
      </c>
      <c r="D300" s="1" t="s">
        <v>30</v>
      </c>
      <c r="E300" s="1" t="s">
        <v>24</v>
      </c>
      <c r="F300" s="2">
        <v>40227</v>
      </c>
      <c r="G300" s="1" t="s">
        <v>13</v>
      </c>
      <c r="H300" s="1" t="s">
        <v>105</v>
      </c>
      <c r="I300" s="1" t="str">
        <f t="shared" si="261"/>
        <v>Dec-2023</v>
      </c>
      <c r="J300" s="1">
        <v>4</v>
      </c>
    </row>
    <row r="301" spans="1:10" x14ac:dyDescent="0.3">
      <c r="A301" s="1">
        <v>1063073</v>
      </c>
      <c r="B301" s="1" t="e">
        <f t="shared" ref="B301" si="304">IF(#REF!&lt;500000,"Low Income",
IF(#REF!&lt;=1000000,"Middle Income",
"High Income"))</f>
        <v>#REF!</v>
      </c>
      <c r="C301" s="1" t="s">
        <v>19</v>
      </c>
      <c r="D301" s="1" t="s">
        <v>11</v>
      </c>
      <c r="E301" s="1" t="s">
        <v>16</v>
      </c>
      <c r="F301" s="2">
        <v>19956</v>
      </c>
      <c r="G301" s="1" t="s">
        <v>28</v>
      </c>
      <c r="H301" s="1" t="s">
        <v>267</v>
      </c>
      <c r="I301" s="1" t="str">
        <f t="shared" si="261"/>
        <v>Jul-2024</v>
      </c>
      <c r="J30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Shukla</dc:creator>
  <cp:lastModifiedBy>Sakshi Shukla</cp:lastModifiedBy>
  <dcterms:created xsi:type="dcterms:W3CDTF">2026-02-09T15:22:28Z</dcterms:created>
  <dcterms:modified xsi:type="dcterms:W3CDTF">2026-02-09T15:23:44Z</dcterms:modified>
</cp:coreProperties>
</file>